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SSC CGL\"/>
    </mc:Choice>
  </mc:AlternateContent>
  <xr:revisionPtr revIDLastSave="0" documentId="13_ncr:1_{8CA74CCF-94EE-48A1-9E92-C85A0B21EB23}" xr6:coauthVersionLast="47" xr6:coauthVersionMax="47" xr10:uidLastSave="{00000000-0000-0000-0000-000000000000}"/>
  <bookViews>
    <workbookView xWindow="-108" yWindow="-108" windowWidth="23256" windowHeight="12456" activeTab="2" xr2:uid="{D78A1A9F-3082-4BF2-B94E-E95D5B9F79D9}"/>
  </bookViews>
  <sheets>
    <sheet name="Sales_trend" sheetId="9" r:id="rId1"/>
    <sheet name="Analysis_Data" sheetId="5" r:id="rId2"/>
    <sheet name="Sales_data" sheetId="1" r:id="rId3"/>
  </sheets>
  <calcPr calcId="191029"/>
  <pivotCaches>
    <pivotCache cacheId="1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00" i="1" l="1"/>
  <c r="O484" i="1"/>
  <c r="A2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B501" i="1"/>
  <c r="C501" i="1" s="1"/>
  <c r="S501" i="1" s="1"/>
  <c r="D501" i="1"/>
  <c r="E501" i="1"/>
  <c r="F501" i="1"/>
  <c r="G501" i="1"/>
  <c r="H501" i="1"/>
  <c r="I501" i="1"/>
  <c r="J501" i="1"/>
  <c r="K501" i="1"/>
  <c r="L501" i="1"/>
  <c r="M501" i="1"/>
  <c r="N501" i="1"/>
  <c r="O501" i="1"/>
  <c r="P501" i="1"/>
  <c r="Q501" i="1"/>
  <c r="U501" i="1" s="1"/>
  <c r="B3" i="1"/>
  <c r="C3" i="1" s="1"/>
  <c r="S3" i="1" s="1"/>
  <c r="B4" i="1"/>
  <c r="C4" i="1" s="1"/>
  <c r="S4" i="1" s="1"/>
  <c r="B5" i="1"/>
  <c r="C5" i="1" s="1"/>
  <c r="S5" i="1" s="1"/>
  <c r="B7" i="1"/>
  <c r="C7" i="1" s="1"/>
  <c r="S7" i="1" s="1"/>
  <c r="B8" i="1"/>
  <c r="B9" i="1"/>
  <c r="C9" i="1" s="1"/>
  <c r="S9" i="1" s="1"/>
  <c r="B10" i="1"/>
  <c r="B11" i="1"/>
  <c r="C11" i="1" s="1"/>
  <c r="S11" i="1" s="1"/>
  <c r="B12" i="1"/>
  <c r="C12" i="1" s="1"/>
  <c r="S12" i="1" s="1"/>
  <c r="B13" i="1"/>
  <c r="B14" i="1"/>
  <c r="B15" i="1"/>
  <c r="C15" i="1" s="1"/>
  <c r="S15" i="1" s="1"/>
  <c r="B16" i="1"/>
  <c r="B17" i="1"/>
  <c r="C17" i="1" s="1"/>
  <c r="S17" i="1" s="1"/>
  <c r="B18" i="1"/>
  <c r="C18" i="1" s="1"/>
  <c r="S18" i="1" s="1"/>
  <c r="B19" i="1"/>
  <c r="C19" i="1" s="1"/>
  <c r="S19" i="1" s="1"/>
  <c r="B20" i="1"/>
  <c r="B21" i="1"/>
  <c r="C21" i="1" s="1"/>
  <c r="S21" i="1" s="1"/>
  <c r="B22" i="1"/>
  <c r="B23" i="1"/>
  <c r="C23" i="1" s="1"/>
  <c r="S23" i="1" s="1"/>
  <c r="B24" i="1"/>
  <c r="C24" i="1" s="1"/>
  <c r="S24" i="1" s="1"/>
  <c r="B25" i="1"/>
  <c r="B26" i="1"/>
  <c r="B27" i="1"/>
  <c r="C27" i="1" s="1"/>
  <c r="S27" i="1" s="1"/>
  <c r="B28" i="1"/>
  <c r="B29" i="1"/>
  <c r="C29" i="1" s="1"/>
  <c r="S29" i="1" s="1"/>
  <c r="B30" i="1"/>
  <c r="C30" i="1" s="1"/>
  <c r="S30" i="1" s="1"/>
  <c r="B31" i="1"/>
  <c r="C31" i="1" s="1"/>
  <c r="S31" i="1" s="1"/>
  <c r="B32" i="1"/>
  <c r="B33" i="1"/>
  <c r="C33" i="1" s="1"/>
  <c r="S33" i="1" s="1"/>
  <c r="B34" i="1"/>
  <c r="B35" i="1"/>
  <c r="C35" i="1" s="1"/>
  <c r="S35" i="1" s="1"/>
  <c r="B36" i="1"/>
  <c r="C36" i="1" s="1"/>
  <c r="S36" i="1" s="1"/>
  <c r="B37" i="1"/>
  <c r="B38" i="1"/>
  <c r="B39" i="1"/>
  <c r="C39" i="1" s="1"/>
  <c r="S39" i="1" s="1"/>
  <c r="B40" i="1"/>
  <c r="B41" i="1"/>
  <c r="C41" i="1" s="1"/>
  <c r="S41" i="1" s="1"/>
  <c r="B42" i="1"/>
  <c r="C42" i="1" s="1"/>
  <c r="S42" i="1" s="1"/>
  <c r="B43" i="1"/>
  <c r="C43" i="1" s="1"/>
  <c r="S43" i="1" s="1"/>
  <c r="B44" i="1"/>
  <c r="B45" i="1"/>
  <c r="C45" i="1" s="1"/>
  <c r="S45" i="1" s="1"/>
  <c r="B46" i="1"/>
  <c r="B47" i="1"/>
  <c r="C47" i="1" s="1"/>
  <c r="S47" i="1" s="1"/>
  <c r="B48" i="1"/>
  <c r="C48" i="1" s="1"/>
  <c r="S48" i="1" s="1"/>
  <c r="B49" i="1"/>
  <c r="B50" i="1"/>
  <c r="B51" i="1"/>
  <c r="C51" i="1" s="1"/>
  <c r="S51" i="1" s="1"/>
  <c r="B52" i="1"/>
  <c r="B53" i="1"/>
  <c r="C53" i="1" s="1"/>
  <c r="S53" i="1" s="1"/>
  <c r="B54" i="1"/>
  <c r="C54" i="1" s="1"/>
  <c r="S54" i="1" s="1"/>
  <c r="B55" i="1"/>
  <c r="C55" i="1" s="1"/>
  <c r="S55" i="1" s="1"/>
  <c r="B56" i="1"/>
  <c r="B57" i="1"/>
  <c r="C57" i="1" s="1"/>
  <c r="S57" i="1" s="1"/>
  <c r="B58" i="1"/>
  <c r="B59" i="1"/>
  <c r="C59" i="1" s="1"/>
  <c r="S59" i="1" s="1"/>
  <c r="B60" i="1"/>
  <c r="C60" i="1" s="1"/>
  <c r="S60" i="1" s="1"/>
  <c r="B61" i="1"/>
  <c r="B62" i="1"/>
  <c r="B63" i="1"/>
  <c r="C63" i="1" s="1"/>
  <c r="S63" i="1" s="1"/>
  <c r="B64" i="1"/>
  <c r="B65" i="1"/>
  <c r="C65" i="1" s="1"/>
  <c r="S65" i="1" s="1"/>
  <c r="B66" i="1"/>
  <c r="C66" i="1" s="1"/>
  <c r="S66" i="1" s="1"/>
  <c r="B67" i="1"/>
  <c r="C67" i="1" s="1"/>
  <c r="S67" i="1" s="1"/>
  <c r="B68" i="1"/>
  <c r="C68" i="1" s="1"/>
  <c r="S68" i="1" s="1"/>
  <c r="B69" i="1"/>
  <c r="C69" i="1" s="1"/>
  <c r="S69" i="1" s="1"/>
  <c r="B70" i="1"/>
  <c r="B71" i="1"/>
  <c r="C71" i="1" s="1"/>
  <c r="S71" i="1" s="1"/>
  <c r="B72" i="1"/>
  <c r="C72" i="1" s="1"/>
  <c r="S72" i="1" s="1"/>
  <c r="B73" i="1"/>
  <c r="B74" i="1"/>
  <c r="B75" i="1"/>
  <c r="C75" i="1" s="1"/>
  <c r="S75" i="1" s="1"/>
  <c r="B76" i="1"/>
  <c r="B77" i="1"/>
  <c r="C77" i="1" s="1"/>
  <c r="S77" i="1" s="1"/>
  <c r="B78" i="1"/>
  <c r="C78" i="1" s="1"/>
  <c r="S78" i="1" s="1"/>
  <c r="B79" i="1"/>
  <c r="C79" i="1" s="1"/>
  <c r="S79" i="1" s="1"/>
  <c r="B80" i="1"/>
  <c r="C80" i="1" s="1"/>
  <c r="S80" i="1" s="1"/>
  <c r="B81" i="1"/>
  <c r="C81" i="1" s="1"/>
  <c r="S81" i="1" s="1"/>
  <c r="B82" i="1"/>
  <c r="B83" i="1"/>
  <c r="C83" i="1" s="1"/>
  <c r="S83" i="1" s="1"/>
  <c r="B84" i="1"/>
  <c r="C84" i="1" s="1"/>
  <c r="S84" i="1" s="1"/>
  <c r="B85" i="1"/>
  <c r="B86" i="1"/>
  <c r="C86" i="1" s="1"/>
  <c r="S86" i="1" s="1"/>
  <c r="B87" i="1"/>
  <c r="C87" i="1" s="1"/>
  <c r="S87" i="1" s="1"/>
  <c r="B88" i="1"/>
  <c r="B89" i="1"/>
  <c r="C89" i="1" s="1"/>
  <c r="S89" i="1" s="1"/>
  <c r="B90" i="1"/>
  <c r="C90" i="1" s="1"/>
  <c r="S90" i="1" s="1"/>
  <c r="B91" i="1"/>
  <c r="C91" i="1" s="1"/>
  <c r="S91" i="1" s="1"/>
  <c r="B92" i="1"/>
  <c r="C92" i="1" s="1"/>
  <c r="S92" i="1" s="1"/>
  <c r="B93" i="1"/>
  <c r="C93" i="1" s="1"/>
  <c r="S93" i="1" s="1"/>
  <c r="B94" i="1"/>
  <c r="B95" i="1"/>
  <c r="C95" i="1" s="1"/>
  <c r="S95" i="1" s="1"/>
  <c r="B96" i="1"/>
  <c r="C96" i="1" s="1"/>
  <c r="S96" i="1" s="1"/>
  <c r="B97" i="1"/>
  <c r="B98" i="1"/>
  <c r="C98" i="1" s="1"/>
  <c r="S98" i="1" s="1"/>
  <c r="B99" i="1"/>
  <c r="C99" i="1" s="1"/>
  <c r="S99" i="1" s="1"/>
  <c r="B100" i="1"/>
  <c r="B101" i="1"/>
  <c r="C101" i="1" s="1"/>
  <c r="S101" i="1" s="1"/>
  <c r="B102" i="1"/>
  <c r="C102" i="1" s="1"/>
  <c r="S102" i="1" s="1"/>
  <c r="B103" i="1"/>
  <c r="C103" i="1" s="1"/>
  <c r="S103" i="1" s="1"/>
  <c r="B104" i="1"/>
  <c r="C104" i="1" s="1"/>
  <c r="S104" i="1" s="1"/>
  <c r="B105" i="1"/>
  <c r="C105" i="1" s="1"/>
  <c r="S105" i="1" s="1"/>
  <c r="B106" i="1"/>
  <c r="B107" i="1"/>
  <c r="C107" i="1" s="1"/>
  <c r="S107" i="1" s="1"/>
  <c r="B108" i="1"/>
  <c r="C108" i="1" s="1"/>
  <c r="S108" i="1" s="1"/>
  <c r="B109" i="1"/>
  <c r="B110" i="1"/>
  <c r="C110" i="1" s="1"/>
  <c r="S110" i="1" s="1"/>
  <c r="B111" i="1"/>
  <c r="C111" i="1" s="1"/>
  <c r="S111" i="1" s="1"/>
  <c r="B112" i="1"/>
  <c r="B113" i="1"/>
  <c r="C113" i="1" s="1"/>
  <c r="S113" i="1" s="1"/>
  <c r="B114" i="1"/>
  <c r="C114" i="1" s="1"/>
  <c r="S114" i="1" s="1"/>
  <c r="B115" i="1"/>
  <c r="C115" i="1" s="1"/>
  <c r="S115" i="1" s="1"/>
  <c r="B116" i="1"/>
  <c r="C116" i="1" s="1"/>
  <c r="S116" i="1" s="1"/>
  <c r="B117" i="1"/>
  <c r="C117" i="1" s="1"/>
  <c r="S117" i="1" s="1"/>
  <c r="B118" i="1"/>
  <c r="B119" i="1"/>
  <c r="C119" i="1" s="1"/>
  <c r="S119" i="1" s="1"/>
  <c r="B120" i="1"/>
  <c r="C120" i="1" s="1"/>
  <c r="S120" i="1" s="1"/>
  <c r="B121" i="1"/>
  <c r="B122" i="1"/>
  <c r="C122" i="1" s="1"/>
  <c r="S122" i="1" s="1"/>
  <c r="B123" i="1"/>
  <c r="C123" i="1" s="1"/>
  <c r="S123" i="1" s="1"/>
  <c r="B124" i="1"/>
  <c r="B125" i="1"/>
  <c r="C125" i="1" s="1"/>
  <c r="S125" i="1" s="1"/>
  <c r="B126" i="1"/>
  <c r="C126" i="1" s="1"/>
  <c r="S126" i="1" s="1"/>
  <c r="B127" i="1"/>
  <c r="C127" i="1" s="1"/>
  <c r="S127" i="1" s="1"/>
  <c r="B128" i="1"/>
  <c r="C128" i="1" s="1"/>
  <c r="S128" i="1" s="1"/>
  <c r="B129" i="1"/>
  <c r="C129" i="1" s="1"/>
  <c r="S129" i="1" s="1"/>
  <c r="B130" i="1"/>
  <c r="B131" i="1"/>
  <c r="C131" i="1" s="1"/>
  <c r="S131" i="1" s="1"/>
  <c r="B132" i="1"/>
  <c r="C132" i="1" s="1"/>
  <c r="S132" i="1" s="1"/>
  <c r="B133" i="1"/>
  <c r="B134" i="1"/>
  <c r="C134" i="1" s="1"/>
  <c r="S134" i="1" s="1"/>
  <c r="B135" i="1"/>
  <c r="C135" i="1" s="1"/>
  <c r="S135" i="1" s="1"/>
  <c r="B136" i="1"/>
  <c r="B137" i="1"/>
  <c r="C137" i="1" s="1"/>
  <c r="S137" i="1" s="1"/>
  <c r="B138" i="1"/>
  <c r="C138" i="1" s="1"/>
  <c r="S138" i="1" s="1"/>
  <c r="B139" i="1"/>
  <c r="C139" i="1" s="1"/>
  <c r="S139" i="1" s="1"/>
  <c r="B140" i="1"/>
  <c r="C140" i="1" s="1"/>
  <c r="S140" i="1" s="1"/>
  <c r="B141" i="1"/>
  <c r="C141" i="1" s="1"/>
  <c r="S141" i="1" s="1"/>
  <c r="B142" i="1"/>
  <c r="B143" i="1"/>
  <c r="C143" i="1" s="1"/>
  <c r="S143" i="1" s="1"/>
  <c r="B144" i="1"/>
  <c r="C144" i="1" s="1"/>
  <c r="S144" i="1" s="1"/>
  <c r="B145" i="1"/>
  <c r="B146" i="1"/>
  <c r="C146" i="1" s="1"/>
  <c r="S146" i="1" s="1"/>
  <c r="B147" i="1"/>
  <c r="C147" i="1" s="1"/>
  <c r="S147" i="1" s="1"/>
  <c r="B148" i="1"/>
  <c r="B149" i="1"/>
  <c r="C149" i="1" s="1"/>
  <c r="S149" i="1" s="1"/>
  <c r="B150" i="1"/>
  <c r="C150" i="1" s="1"/>
  <c r="S150" i="1" s="1"/>
  <c r="B151" i="1"/>
  <c r="C151" i="1" s="1"/>
  <c r="S151" i="1" s="1"/>
  <c r="B152" i="1"/>
  <c r="C152" i="1" s="1"/>
  <c r="S152" i="1" s="1"/>
  <c r="B153" i="1"/>
  <c r="C153" i="1" s="1"/>
  <c r="S153" i="1" s="1"/>
  <c r="B154" i="1"/>
  <c r="B155" i="1"/>
  <c r="C155" i="1" s="1"/>
  <c r="S155" i="1" s="1"/>
  <c r="B156" i="1"/>
  <c r="C156" i="1" s="1"/>
  <c r="S156" i="1" s="1"/>
  <c r="B157" i="1"/>
  <c r="B158" i="1"/>
  <c r="C158" i="1" s="1"/>
  <c r="S158" i="1" s="1"/>
  <c r="B159" i="1"/>
  <c r="C159" i="1" s="1"/>
  <c r="S159" i="1" s="1"/>
  <c r="B160" i="1"/>
  <c r="B161" i="1"/>
  <c r="C161" i="1" s="1"/>
  <c r="S161" i="1" s="1"/>
  <c r="B162" i="1"/>
  <c r="C162" i="1" s="1"/>
  <c r="S162" i="1" s="1"/>
  <c r="B163" i="1"/>
  <c r="C163" i="1" s="1"/>
  <c r="S163" i="1" s="1"/>
  <c r="B164" i="1"/>
  <c r="C164" i="1" s="1"/>
  <c r="S164" i="1" s="1"/>
  <c r="B165" i="1"/>
  <c r="C165" i="1" s="1"/>
  <c r="S165" i="1" s="1"/>
  <c r="B166" i="1"/>
  <c r="B167" i="1"/>
  <c r="C167" i="1" s="1"/>
  <c r="S167" i="1" s="1"/>
  <c r="B168" i="1"/>
  <c r="C168" i="1" s="1"/>
  <c r="S168" i="1" s="1"/>
  <c r="B169" i="1"/>
  <c r="B170" i="1"/>
  <c r="C170" i="1" s="1"/>
  <c r="S170" i="1" s="1"/>
  <c r="B171" i="1"/>
  <c r="C171" i="1" s="1"/>
  <c r="S171" i="1" s="1"/>
  <c r="B172" i="1"/>
  <c r="B173" i="1"/>
  <c r="C173" i="1" s="1"/>
  <c r="S173" i="1" s="1"/>
  <c r="B174" i="1"/>
  <c r="C174" i="1" s="1"/>
  <c r="S174" i="1" s="1"/>
  <c r="B175" i="1"/>
  <c r="C175" i="1" s="1"/>
  <c r="S175" i="1" s="1"/>
  <c r="B176" i="1"/>
  <c r="C176" i="1" s="1"/>
  <c r="S176" i="1" s="1"/>
  <c r="B177" i="1"/>
  <c r="C177" i="1" s="1"/>
  <c r="S177" i="1" s="1"/>
  <c r="B178" i="1"/>
  <c r="B179" i="1"/>
  <c r="C179" i="1" s="1"/>
  <c r="S179" i="1" s="1"/>
  <c r="B180" i="1"/>
  <c r="C180" i="1" s="1"/>
  <c r="S180" i="1" s="1"/>
  <c r="B181" i="1"/>
  <c r="B182" i="1"/>
  <c r="C182" i="1" s="1"/>
  <c r="S182" i="1" s="1"/>
  <c r="B183" i="1"/>
  <c r="C183" i="1" s="1"/>
  <c r="S183" i="1" s="1"/>
  <c r="B184" i="1"/>
  <c r="B185" i="1"/>
  <c r="C185" i="1" s="1"/>
  <c r="S185" i="1" s="1"/>
  <c r="B186" i="1"/>
  <c r="C186" i="1" s="1"/>
  <c r="S186" i="1" s="1"/>
  <c r="B187" i="1"/>
  <c r="C187" i="1" s="1"/>
  <c r="S187" i="1" s="1"/>
  <c r="B188" i="1"/>
  <c r="C188" i="1" s="1"/>
  <c r="S188" i="1" s="1"/>
  <c r="B189" i="1"/>
  <c r="C189" i="1" s="1"/>
  <c r="S189" i="1" s="1"/>
  <c r="B190" i="1"/>
  <c r="B191" i="1"/>
  <c r="C191" i="1" s="1"/>
  <c r="S191" i="1" s="1"/>
  <c r="B192" i="1"/>
  <c r="C192" i="1" s="1"/>
  <c r="S192" i="1" s="1"/>
  <c r="B193" i="1"/>
  <c r="B194" i="1"/>
  <c r="C194" i="1" s="1"/>
  <c r="S194" i="1" s="1"/>
  <c r="B195" i="1"/>
  <c r="C195" i="1" s="1"/>
  <c r="S195" i="1" s="1"/>
  <c r="B196" i="1"/>
  <c r="B197" i="1"/>
  <c r="C197" i="1" s="1"/>
  <c r="S197" i="1" s="1"/>
  <c r="B198" i="1"/>
  <c r="C198" i="1" s="1"/>
  <c r="S198" i="1" s="1"/>
  <c r="B199" i="1"/>
  <c r="C199" i="1" s="1"/>
  <c r="S199" i="1" s="1"/>
  <c r="B200" i="1"/>
  <c r="C200" i="1" s="1"/>
  <c r="S200" i="1" s="1"/>
  <c r="B201" i="1"/>
  <c r="C201" i="1" s="1"/>
  <c r="S201" i="1" s="1"/>
  <c r="B202" i="1"/>
  <c r="B203" i="1"/>
  <c r="C203" i="1" s="1"/>
  <c r="S203" i="1" s="1"/>
  <c r="B204" i="1"/>
  <c r="C204" i="1" s="1"/>
  <c r="S204" i="1" s="1"/>
  <c r="B205" i="1"/>
  <c r="B206" i="1"/>
  <c r="C206" i="1" s="1"/>
  <c r="S206" i="1" s="1"/>
  <c r="B207" i="1"/>
  <c r="C207" i="1" s="1"/>
  <c r="S207" i="1" s="1"/>
  <c r="B208" i="1"/>
  <c r="B209" i="1"/>
  <c r="C209" i="1" s="1"/>
  <c r="S209" i="1" s="1"/>
  <c r="B210" i="1"/>
  <c r="C210" i="1" s="1"/>
  <c r="S210" i="1" s="1"/>
  <c r="B211" i="1"/>
  <c r="C211" i="1" s="1"/>
  <c r="S211" i="1" s="1"/>
  <c r="B212" i="1"/>
  <c r="C212" i="1" s="1"/>
  <c r="S212" i="1" s="1"/>
  <c r="B213" i="1"/>
  <c r="C213" i="1" s="1"/>
  <c r="S213" i="1" s="1"/>
  <c r="B214" i="1"/>
  <c r="B215" i="1"/>
  <c r="C215" i="1" s="1"/>
  <c r="S215" i="1" s="1"/>
  <c r="B216" i="1"/>
  <c r="C216" i="1" s="1"/>
  <c r="S216" i="1" s="1"/>
  <c r="B217" i="1"/>
  <c r="B218" i="1"/>
  <c r="C218" i="1" s="1"/>
  <c r="S218" i="1" s="1"/>
  <c r="B219" i="1"/>
  <c r="C219" i="1" s="1"/>
  <c r="S219" i="1" s="1"/>
  <c r="B220" i="1"/>
  <c r="B221" i="1"/>
  <c r="C221" i="1" s="1"/>
  <c r="S221" i="1" s="1"/>
  <c r="B222" i="1"/>
  <c r="C222" i="1" s="1"/>
  <c r="S222" i="1" s="1"/>
  <c r="B223" i="1"/>
  <c r="C223" i="1" s="1"/>
  <c r="S223" i="1" s="1"/>
  <c r="B224" i="1"/>
  <c r="C224" i="1" s="1"/>
  <c r="S224" i="1" s="1"/>
  <c r="B225" i="1"/>
  <c r="C225" i="1" s="1"/>
  <c r="S225" i="1" s="1"/>
  <c r="B226" i="1"/>
  <c r="B227" i="1"/>
  <c r="C227" i="1" s="1"/>
  <c r="S227" i="1" s="1"/>
  <c r="B228" i="1"/>
  <c r="C228" i="1" s="1"/>
  <c r="S228" i="1" s="1"/>
  <c r="B229" i="1"/>
  <c r="B230" i="1"/>
  <c r="C230" i="1" s="1"/>
  <c r="S230" i="1" s="1"/>
  <c r="B231" i="1"/>
  <c r="C231" i="1" s="1"/>
  <c r="S231" i="1" s="1"/>
  <c r="B232" i="1"/>
  <c r="B233" i="1"/>
  <c r="C233" i="1" s="1"/>
  <c r="S233" i="1" s="1"/>
  <c r="B234" i="1"/>
  <c r="C234" i="1" s="1"/>
  <c r="S234" i="1" s="1"/>
  <c r="B235" i="1"/>
  <c r="C235" i="1" s="1"/>
  <c r="S235" i="1" s="1"/>
  <c r="B236" i="1"/>
  <c r="C236" i="1" s="1"/>
  <c r="S236" i="1" s="1"/>
  <c r="B237" i="1"/>
  <c r="C237" i="1" s="1"/>
  <c r="S237" i="1" s="1"/>
  <c r="B238" i="1"/>
  <c r="B239" i="1"/>
  <c r="C239" i="1" s="1"/>
  <c r="S239" i="1" s="1"/>
  <c r="B240" i="1"/>
  <c r="C240" i="1" s="1"/>
  <c r="S240" i="1" s="1"/>
  <c r="B241" i="1"/>
  <c r="B242" i="1"/>
  <c r="C242" i="1" s="1"/>
  <c r="S242" i="1" s="1"/>
  <c r="B243" i="1"/>
  <c r="C243" i="1" s="1"/>
  <c r="S243" i="1" s="1"/>
  <c r="B244" i="1"/>
  <c r="B245" i="1"/>
  <c r="C245" i="1" s="1"/>
  <c r="S245" i="1" s="1"/>
  <c r="B246" i="1"/>
  <c r="C246" i="1" s="1"/>
  <c r="S246" i="1" s="1"/>
  <c r="B247" i="1"/>
  <c r="C247" i="1" s="1"/>
  <c r="S247" i="1" s="1"/>
  <c r="B248" i="1"/>
  <c r="C248" i="1" s="1"/>
  <c r="S248" i="1" s="1"/>
  <c r="B249" i="1"/>
  <c r="C249" i="1" s="1"/>
  <c r="S249" i="1" s="1"/>
  <c r="B250" i="1"/>
  <c r="B251" i="1"/>
  <c r="C251" i="1" s="1"/>
  <c r="S251" i="1" s="1"/>
  <c r="B252" i="1"/>
  <c r="C252" i="1" s="1"/>
  <c r="S252" i="1" s="1"/>
  <c r="B253" i="1"/>
  <c r="B254" i="1"/>
  <c r="C254" i="1" s="1"/>
  <c r="S254" i="1" s="1"/>
  <c r="B255" i="1"/>
  <c r="C255" i="1" s="1"/>
  <c r="S255" i="1" s="1"/>
  <c r="B256" i="1"/>
  <c r="B257" i="1"/>
  <c r="C257" i="1" s="1"/>
  <c r="S257" i="1" s="1"/>
  <c r="B258" i="1"/>
  <c r="C258" i="1" s="1"/>
  <c r="S258" i="1" s="1"/>
  <c r="B259" i="1"/>
  <c r="C259" i="1" s="1"/>
  <c r="S259" i="1" s="1"/>
  <c r="B260" i="1"/>
  <c r="C260" i="1" s="1"/>
  <c r="S260" i="1" s="1"/>
  <c r="B261" i="1"/>
  <c r="C261" i="1" s="1"/>
  <c r="S261" i="1" s="1"/>
  <c r="B262" i="1"/>
  <c r="B263" i="1"/>
  <c r="C263" i="1" s="1"/>
  <c r="S263" i="1" s="1"/>
  <c r="B264" i="1"/>
  <c r="C264" i="1" s="1"/>
  <c r="S264" i="1" s="1"/>
  <c r="B265" i="1"/>
  <c r="B266" i="1"/>
  <c r="C266" i="1" s="1"/>
  <c r="S266" i="1" s="1"/>
  <c r="B267" i="1"/>
  <c r="C267" i="1" s="1"/>
  <c r="S267" i="1" s="1"/>
  <c r="B268" i="1"/>
  <c r="B269" i="1"/>
  <c r="C269" i="1" s="1"/>
  <c r="S269" i="1" s="1"/>
  <c r="B270" i="1"/>
  <c r="C270" i="1" s="1"/>
  <c r="S270" i="1" s="1"/>
  <c r="B271" i="1"/>
  <c r="C271" i="1" s="1"/>
  <c r="S271" i="1" s="1"/>
  <c r="B272" i="1"/>
  <c r="C272" i="1" s="1"/>
  <c r="S272" i="1" s="1"/>
  <c r="B273" i="1"/>
  <c r="C273" i="1" s="1"/>
  <c r="S273" i="1" s="1"/>
  <c r="B274" i="1"/>
  <c r="B275" i="1"/>
  <c r="C275" i="1" s="1"/>
  <c r="S275" i="1" s="1"/>
  <c r="B276" i="1"/>
  <c r="C276" i="1" s="1"/>
  <c r="S276" i="1" s="1"/>
  <c r="B277" i="1"/>
  <c r="B278" i="1"/>
  <c r="C278" i="1" s="1"/>
  <c r="S278" i="1" s="1"/>
  <c r="B279" i="1"/>
  <c r="C279" i="1" s="1"/>
  <c r="S279" i="1" s="1"/>
  <c r="B280" i="1"/>
  <c r="B281" i="1"/>
  <c r="C281" i="1" s="1"/>
  <c r="S281" i="1" s="1"/>
  <c r="B282" i="1"/>
  <c r="C282" i="1" s="1"/>
  <c r="S282" i="1" s="1"/>
  <c r="B283" i="1"/>
  <c r="C283" i="1" s="1"/>
  <c r="S283" i="1" s="1"/>
  <c r="B284" i="1"/>
  <c r="C284" i="1" s="1"/>
  <c r="S284" i="1" s="1"/>
  <c r="B285" i="1"/>
  <c r="C285" i="1" s="1"/>
  <c r="S285" i="1" s="1"/>
  <c r="B286" i="1"/>
  <c r="B287" i="1"/>
  <c r="C287" i="1" s="1"/>
  <c r="S287" i="1" s="1"/>
  <c r="B288" i="1"/>
  <c r="C288" i="1" s="1"/>
  <c r="S288" i="1" s="1"/>
  <c r="B289" i="1"/>
  <c r="B290" i="1"/>
  <c r="C290" i="1" s="1"/>
  <c r="S290" i="1" s="1"/>
  <c r="B291" i="1"/>
  <c r="C291" i="1" s="1"/>
  <c r="S291" i="1" s="1"/>
  <c r="B292" i="1"/>
  <c r="B293" i="1"/>
  <c r="C293" i="1" s="1"/>
  <c r="S293" i="1" s="1"/>
  <c r="B294" i="1"/>
  <c r="C294" i="1" s="1"/>
  <c r="S294" i="1" s="1"/>
  <c r="B295" i="1"/>
  <c r="C295" i="1" s="1"/>
  <c r="S295" i="1" s="1"/>
  <c r="B296" i="1"/>
  <c r="C296" i="1" s="1"/>
  <c r="S296" i="1" s="1"/>
  <c r="B297" i="1"/>
  <c r="C297" i="1" s="1"/>
  <c r="S297" i="1" s="1"/>
  <c r="B298" i="1"/>
  <c r="B299" i="1"/>
  <c r="C299" i="1" s="1"/>
  <c r="S299" i="1" s="1"/>
  <c r="B300" i="1"/>
  <c r="C300" i="1" s="1"/>
  <c r="S300" i="1" s="1"/>
  <c r="B301" i="1"/>
  <c r="B302" i="1"/>
  <c r="C302" i="1" s="1"/>
  <c r="S302" i="1" s="1"/>
  <c r="B303" i="1"/>
  <c r="C303" i="1" s="1"/>
  <c r="S303" i="1" s="1"/>
  <c r="B304" i="1"/>
  <c r="B305" i="1"/>
  <c r="C305" i="1" s="1"/>
  <c r="S305" i="1" s="1"/>
  <c r="B306" i="1"/>
  <c r="C306" i="1" s="1"/>
  <c r="S306" i="1" s="1"/>
  <c r="B307" i="1"/>
  <c r="C307" i="1" s="1"/>
  <c r="S307" i="1" s="1"/>
  <c r="B308" i="1"/>
  <c r="C308" i="1" s="1"/>
  <c r="S308" i="1" s="1"/>
  <c r="B309" i="1"/>
  <c r="C309" i="1" s="1"/>
  <c r="S309" i="1" s="1"/>
  <c r="B310" i="1"/>
  <c r="B311" i="1"/>
  <c r="C311" i="1" s="1"/>
  <c r="S311" i="1" s="1"/>
  <c r="B312" i="1"/>
  <c r="C312" i="1" s="1"/>
  <c r="S312" i="1" s="1"/>
  <c r="B313" i="1"/>
  <c r="B314" i="1"/>
  <c r="C314" i="1" s="1"/>
  <c r="S314" i="1" s="1"/>
  <c r="B315" i="1"/>
  <c r="C315" i="1" s="1"/>
  <c r="S315" i="1" s="1"/>
  <c r="B316" i="1"/>
  <c r="B317" i="1"/>
  <c r="C317" i="1" s="1"/>
  <c r="S317" i="1" s="1"/>
  <c r="B318" i="1"/>
  <c r="C318" i="1" s="1"/>
  <c r="S318" i="1" s="1"/>
  <c r="B319" i="1"/>
  <c r="C319" i="1" s="1"/>
  <c r="S319" i="1" s="1"/>
  <c r="B320" i="1"/>
  <c r="C320" i="1" s="1"/>
  <c r="S320" i="1" s="1"/>
  <c r="B321" i="1"/>
  <c r="C321" i="1" s="1"/>
  <c r="S321" i="1" s="1"/>
  <c r="B322" i="1"/>
  <c r="B323" i="1"/>
  <c r="C323" i="1" s="1"/>
  <c r="S323" i="1" s="1"/>
  <c r="B324" i="1"/>
  <c r="C324" i="1" s="1"/>
  <c r="S324" i="1" s="1"/>
  <c r="B325" i="1"/>
  <c r="B326" i="1"/>
  <c r="C326" i="1" s="1"/>
  <c r="S326" i="1" s="1"/>
  <c r="B327" i="1"/>
  <c r="C327" i="1" s="1"/>
  <c r="S327" i="1" s="1"/>
  <c r="B328" i="1"/>
  <c r="B329" i="1"/>
  <c r="C329" i="1" s="1"/>
  <c r="S329" i="1" s="1"/>
  <c r="B330" i="1"/>
  <c r="C330" i="1" s="1"/>
  <c r="S330" i="1" s="1"/>
  <c r="B331" i="1"/>
  <c r="C331" i="1" s="1"/>
  <c r="S331" i="1" s="1"/>
  <c r="B332" i="1"/>
  <c r="C332" i="1" s="1"/>
  <c r="S332" i="1" s="1"/>
  <c r="B333" i="1"/>
  <c r="C333" i="1" s="1"/>
  <c r="S333" i="1" s="1"/>
  <c r="B334" i="1"/>
  <c r="B335" i="1"/>
  <c r="C335" i="1" s="1"/>
  <c r="S335" i="1" s="1"/>
  <c r="B336" i="1"/>
  <c r="C336" i="1" s="1"/>
  <c r="S336" i="1" s="1"/>
  <c r="B337" i="1"/>
  <c r="B338" i="1"/>
  <c r="C338" i="1" s="1"/>
  <c r="S338" i="1" s="1"/>
  <c r="B339" i="1"/>
  <c r="C339" i="1" s="1"/>
  <c r="S339" i="1" s="1"/>
  <c r="B340" i="1"/>
  <c r="B341" i="1"/>
  <c r="C341" i="1" s="1"/>
  <c r="S341" i="1" s="1"/>
  <c r="B342" i="1"/>
  <c r="C342" i="1" s="1"/>
  <c r="S342" i="1" s="1"/>
  <c r="B343" i="1"/>
  <c r="C343" i="1" s="1"/>
  <c r="S343" i="1" s="1"/>
  <c r="B344" i="1"/>
  <c r="C344" i="1" s="1"/>
  <c r="S344" i="1" s="1"/>
  <c r="B345" i="1"/>
  <c r="C345" i="1" s="1"/>
  <c r="S345" i="1" s="1"/>
  <c r="B346" i="1"/>
  <c r="B347" i="1"/>
  <c r="C347" i="1" s="1"/>
  <c r="S347" i="1" s="1"/>
  <c r="B348" i="1"/>
  <c r="C348" i="1" s="1"/>
  <c r="S348" i="1" s="1"/>
  <c r="B349" i="1"/>
  <c r="B350" i="1"/>
  <c r="C350" i="1" s="1"/>
  <c r="S350" i="1" s="1"/>
  <c r="B351" i="1"/>
  <c r="C351" i="1" s="1"/>
  <c r="S351" i="1" s="1"/>
  <c r="B352" i="1"/>
  <c r="B353" i="1"/>
  <c r="C353" i="1" s="1"/>
  <c r="S353" i="1" s="1"/>
  <c r="B354" i="1"/>
  <c r="C354" i="1" s="1"/>
  <c r="S354" i="1" s="1"/>
  <c r="B355" i="1"/>
  <c r="C355" i="1" s="1"/>
  <c r="S355" i="1" s="1"/>
  <c r="B356" i="1"/>
  <c r="C356" i="1" s="1"/>
  <c r="S356" i="1" s="1"/>
  <c r="B357" i="1"/>
  <c r="C357" i="1" s="1"/>
  <c r="S357" i="1" s="1"/>
  <c r="B358" i="1"/>
  <c r="B359" i="1"/>
  <c r="C359" i="1" s="1"/>
  <c r="S359" i="1" s="1"/>
  <c r="B360" i="1"/>
  <c r="C360" i="1" s="1"/>
  <c r="S360" i="1" s="1"/>
  <c r="B361" i="1"/>
  <c r="B362" i="1"/>
  <c r="C362" i="1" s="1"/>
  <c r="S362" i="1" s="1"/>
  <c r="B363" i="1"/>
  <c r="C363" i="1" s="1"/>
  <c r="S363" i="1" s="1"/>
  <c r="B364" i="1"/>
  <c r="B365" i="1"/>
  <c r="C365" i="1" s="1"/>
  <c r="S365" i="1" s="1"/>
  <c r="B366" i="1"/>
  <c r="C366" i="1" s="1"/>
  <c r="S366" i="1" s="1"/>
  <c r="B367" i="1"/>
  <c r="C367" i="1" s="1"/>
  <c r="S367" i="1" s="1"/>
  <c r="B368" i="1"/>
  <c r="C368" i="1" s="1"/>
  <c r="S368" i="1" s="1"/>
  <c r="B369" i="1"/>
  <c r="C369" i="1" s="1"/>
  <c r="S369" i="1" s="1"/>
  <c r="B370" i="1"/>
  <c r="B371" i="1"/>
  <c r="C371" i="1" s="1"/>
  <c r="S371" i="1" s="1"/>
  <c r="B372" i="1"/>
  <c r="C372" i="1" s="1"/>
  <c r="S372" i="1" s="1"/>
  <c r="B373" i="1"/>
  <c r="B374" i="1"/>
  <c r="C374" i="1" s="1"/>
  <c r="S374" i="1" s="1"/>
  <c r="B375" i="1"/>
  <c r="C375" i="1" s="1"/>
  <c r="S375" i="1" s="1"/>
  <c r="B376" i="1"/>
  <c r="B377" i="1"/>
  <c r="C377" i="1" s="1"/>
  <c r="S377" i="1" s="1"/>
  <c r="B378" i="1"/>
  <c r="C378" i="1" s="1"/>
  <c r="S378" i="1" s="1"/>
  <c r="B379" i="1"/>
  <c r="C379" i="1" s="1"/>
  <c r="S379" i="1" s="1"/>
  <c r="B380" i="1"/>
  <c r="C380" i="1" s="1"/>
  <c r="S380" i="1" s="1"/>
  <c r="B381" i="1"/>
  <c r="C381" i="1" s="1"/>
  <c r="S381" i="1" s="1"/>
  <c r="B382" i="1"/>
  <c r="B383" i="1"/>
  <c r="C383" i="1" s="1"/>
  <c r="S383" i="1" s="1"/>
  <c r="B384" i="1"/>
  <c r="C384" i="1" s="1"/>
  <c r="S384" i="1" s="1"/>
  <c r="B385" i="1"/>
  <c r="B386" i="1"/>
  <c r="C386" i="1" s="1"/>
  <c r="S386" i="1" s="1"/>
  <c r="B387" i="1"/>
  <c r="C387" i="1" s="1"/>
  <c r="S387" i="1" s="1"/>
  <c r="B388" i="1"/>
  <c r="B389" i="1"/>
  <c r="C389" i="1" s="1"/>
  <c r="S389" i="1" s="1"/>
  <c r="B390" i="1"/>
  <c r="C390" i="1" s="1"/>
  <c r="S390" i="1" s="1"/>
  <c r="B391" i="1"/>
  <c r="C391" i="1" s="1"/>
  <c r="S391" i="1" s="1"/>
  <c r="B392" i="1"/>
  <c r="C392" i="1" s="1"/>
  <c r="S392" i="1" s="1"/>
  <c r="B393" i="1"/>
  <c r="C393" i="1" s="1"/>
  <c r="S393" i="1" s="1"/>
  <c r="B394" i="1"/>
  <c r="B395" i="1"/>
  <c r="C395" i="1" s="1"/>
  <c r="S395" i="1" s="1"/>
  <c r="B396" i="1"/>
  <c r="C396" i="1" s="1"/>
  <c r="S396" i="1" s="1"/>
  <c r="B397" i="1"/>
  <c r="B398" i="1"/>
  <c r="C398" i="1" s="1"/>
  <c r="S398" i="1" s="1"/>
  <c r="B399" i="1"/>
  <c r="C399" i="1" s="1"/>
  <c r="S399" i="1" s="1"/>
  <c r="B400" i="1"/>
  <c r="B401" i="1"/>
  <c r="C401" i="1" s="1"/>
  <c r="S401" i="1" s="1"/>
  <c r="B402" i="1"/>
  <c r="C402" i="1" s="1"/>
  <c r="S402" i="1" s="1"/>
  <c r="B403" i="1"/>
  <c r="C403" i="1" s="1"/>
  <c r="S403" i="1" s="1"/>
  <c r="B404" i="1"/>
  <c r="C404" i="1" s="1"/>
  <c r="S404" i="1" s="1"/>
  <c r="B405" i="1"/>
  <c r="C405" i="1" s="1"/>
  <c r="S405" i="1" s="1"/>
  <c r="B406" i="1"/>
  <c r="B407" i="1"/>
  <c r="C407" i="1" s="1"/>
  <c r="S407" i="1" s="1"/>
  <c r="B408" i="1"/>
  <c r="C408" i="1" s="1"/>
  <c r="S408" i="1" s="1"/>
  <c r="B409" i="1"/>
  <c r="B410" i="1"/>
  <c r="C410" i="1" s="1"/>
  <c r="S410" i="1" s="1"/>
  <c r="B411" i="1"/>
  <c r="C411" i="1" s="1"/>
  <c r="S411" i="1" s="1"/>
  <c r="B412" i="1"/>
  <c r="B413" i="1"/>
  <c r="C413" i="1" s="1"/>
  <c r="S413" i="1" s="1"/>
  <c r="B414" i="1"/>
  <c r="C414" i="1" s="1"/>
  <c r="S414" i="1" s="1"/>
  <c r="B415" i="1"/>
  <c r="C415" i="1" s="1"/>
  <c r="S415" i="1" s="1"/>
  <c r="B416" i="1"/>
  <c r="C416" i="1" s="1"/>
  <c r="S416" i="1" s="1"/>
  <c r="B417" i="1"/>
  <c r="C417" i="1" s="1"/>
  <c r="S417" i="1" s="1"/>
  <c r="B418" i="1"/>
  <c r="B419" i="1"/>
  <c r="C419" i="1" s="1"/>
  <c r="S419" i="1" s="1"/>
  <c r="B420" i="1"/>
  <c r="C420" i="1" s="1"/>
  <c r="S420" i="1" s="1"/>
  <c r="B421" i="1"/>
  <c r="B422" i="1"/>
  <c r="C422" i="1" s="1"/>
  <c r="S422" i="1" s="1"/>
  <c r="B423" i="1"/>
  <c r="C423" i="1" s="1"/>
  <c r="S423" i="1" s="1"/>
  <c r="B424" i="1"/>
  <c r="B425" i="1"/>
  <c r="C425" i="1" s="1"/>
  <c r="S425" i="1" s="1"/>
  <c r="B426" i="1"/>
  <c r="C426" i="1" s="1"/>
  <c r="S426" i="1" s="1"/>
  <c r="B427" i="1"/>
  <c r="C427" i="1" s="1"/>
  <c r="S427" i="1" s="1"/>
  <c r="B428" i="1"/>
  <c r="C428" i="1" s="1"/>
  <c r="S428" i="1" s="1"/>
  <c r="B429" i="1"/>
  <c r="C429" i="1" s="1"/>
  <c r="S429" i="1" s="1"/>
  <c r="B430" i="1"/>
  <c r="B431" i="1"/>
  <c r="C431" i="1" s="1"/>
  <c r="S431" i="1" s="1"/>
  <c r="B432" i="1"/>
  <c r="C432" i="1" s="1"/>
  <c r="S432" i="1" s="1"/>
  <c r="B433" i="1"/>
  <c r="B434" i="1"/>
  <c r="C434" i="1" s="1"/>
  <c r="S434" i="1" s="1"/>
  <c r="B435" i="1"/>
  <c r="C435" i="1" s="1"/>
  <c r="S435" i="1" s="1"/>
  <c r="B436" i="1"/>
  <c r="B437" i="1"/>
  <c r="C437" i="1" s="1"/>
  <c r="S437" i="1" s="1"/>
  <c r="B438" i="1"/>
  <c r="C438" i="1" s="1"/>
  <c r="S438" i="1" s="1"/>
  <c r="B439" i="1"/>
  <c r="C439" i="1" s="1"/>
  <c r="S439" i="1" s="1"/>
  <c r="B440" i="1"/>
  <c r="C440" i="1" s="1"/>
  <c r="S440" i="1" s="1"/>
  <c r="B441" i="1"/>
  <c r="C441" i="1" s="1"/>
  <c r="S441" i="1" s="1"/>
  <c r="B442" i="1"/>
  <c r="B443" i="1"/>
  <c r="C443" i="1" s="1"/>
  <c r="S443" i="1" s="1"/>
  <c r="B444" i="1"/>
  <c r="C444" i="1" s="1"/>
  <c r="S444" i="1" s="1"/>
  <c r="B445" i="1"/>
  <c r="B446" i="1"/>
  <c r="C446" i="1" s="1"/>
  <c r="S446" i="1" s="1"/>
  <c r="B447" i="1"/>
  <c r="C447" i="1" s="1"/>
  <c r="S447" i="1" s="1"/>
  <c r="B448" i="1"/>
  <c r="B449" i="1"/>
  <c r="C449" i="1" s="1"/>
  <c r="S449" i="1" s="1"/>
  <c r="B450" i="1"/>
  <c r="C450" i="1" s="1"/>
  <c r="S450" i="1" s="1"/>
  <c r="B451" i="1"/>
  <c r="C451" i="1" s="1"/>
  <c r="S451" i="1" s="1"/>
  <c r="B452" i="1"/>
  <c r="C452" i="1" s="1"/>
  <c r="S452" i="1" s="1"/>
  <c r="B453" i="1"/>
  <c r="C453" i="1" s="1"/>
  <c r="S453" i="1" s="1"/>
  <c r="B454" i="1"/>
  <c r="B455" i="1"/>
  <c r="C455" i="1" s="1"/>
  <c r="S455" i="1" s="1"/>
  <c r="B456" i="1"/>
  <c r="C456" i="1" s="1"/>
  <c r="S456" i="1" s="1"/>
  <c r="B457" i="1"/>
  <c r="B458" i="1"/>
  <c r="C458" i="1" s="1"/>
  <c r="S458" i="1" s="1"/>
  <c r="B459" i="1"/>
  <c r="C459" i="1" s="1"/>
  <c r="S459" i="1" s="1"/>
  <c r="B460" i="1"/>
  <c r="B461" i="1"/>
  <c r="C461" i="1" s="1"/>
  <c r="S461" i="1" s="1"/>
  <c r="B462" i="1"/>
  <c r="C462" i="1" s="1"/>
  <c r="S462" i="1" s="1"/>
  <c r="B463" i="1"/>
  <c r="C463" i="1" s="1"/>
  <c r="S463" i="1" s="1"/>
  <c r="B464" i="1"/>
  <c r="C464" i="1" s="1"/>
  <c r="S464" i="1" s="1"/>
  <c r="B465" i="1"/>
  <c r="C465" i="1" s="1"/>
  <c r="S465" i="1" s="1"/>
  <c r="B466" i="1"/>
  <c r="B467" i="1"/>
  <c r="C467" i="1" s="1"/>
  <c r="S467" i="1" s="1"/>
  <c r="B468" i="1"/>
  <c r="C468" i="1" s="1"/>
  <c r="S468" i="1" s="1"/>
  <c r="B469" i="1"/>
  <c r="B470" i="1"/>
  <c r="C470" i="1" s="1"/>
  <c r="S470" i="1" s="1"/>
  <c r="B471" i="1"/>
  <c r="C471" i="1" s="1"/>
  <c r="S471" i="1" s="1"/>
  <c r="B472" i="1"/>
  <c r="B473" i="1"/>
  <c r="C473" i="1" s="1"/>
  <c r="S473" i="1" s="1"/>
  <c r="B474" i="1"/>
  <c r="C474" i="1" s="1"/>
  <c r="S474" i="1" s="1"/>
  <c r="B475" i="1"/>
  <c r="C475" i="1" s="1"/>
  <c r="S475" i="1" s="1"/>
  <c r="B476" i="1"/>
  <c r="C476" i="1" s="1"/>
  <c r="S476" i="1" s="1"/>
  <c r="B477" i="1"/>
  <c r="C477" i="1" s="1"/>
  <c r="S477" i="1" s="1"/>
  <c r="B478" i="1"/>
  <c r="B479" i="1"/>
  <c r="C479" i="1" s="1"/>
  <c r="S479" i="1" s="1"/>
  <c r="B480" i="1"/>
  <c r="C480" i="1" s="1"/>
  <c r="S480" i="1" s="1"/>
  <c r="B481" i="1"/>
  <c r="B482" i="1"/>
  <c r="C482" i="1" s="1"/>
  <c r="S482" i="1" s="1"/>
  <c r="B483" i="1"/>
  <c r="C483" i="1" s="1"/>
  <c r="S483" i="1" s="1"/>
  <c r="B484" i="1"/>
  <c r="B485" i="1"/>
  <c r="C485" i="1" s="1"/>
  <c r="S485" i="1" s="1"/>
  <c r="B486" i="1"/>
  <c r="C486" i="1" s="1"/>
  <c r="S486" i="1" s="1"/>
  <c r="B487" i="1"/>
  <c r="C487" i="1" s="1"/>
  <c r="S487" i="1" s="1"/>
  <c r="B488" i="1"/>
  <c r="C488" i="1" s="1"/>
  <c r="S488" i="1" s="1"/>
  <c r="B489" i="1"/>
  <c r="C489" i="1" s="1"/>
  <c r="S489" i="1" s="1"/>
  <c r="B490" i="1"/>
  <c r="B491" i="1"/>
  <c r="C491" i="1" s="1"/>
  <c r="S491" i="1" s="1"/>
  <c r="B492" i="1"/>
  <c r="C492" i="1" s="1"/>
  <c r="S492" i="1" s="1"/>
  <c r="B493" i="1"/>
  <c r="B494" i="1"/>
  <c r="C494" i="1" s="1"/>
  <c r="S494" i="1" s="1"/>
  <c r="B495" i="1"/>
  <c r="C495" i="1" s="1"/>
  <c r="S495" i="1" s="1"/>
  <c r="B496" i="1"/>
  <c r="B497" i="1"/>
  <c r="C497" i="1" s="1"/>
  <c r="S497" i="1" s="1"/>
  <c r="B498" i="1"/>
  <c r="C498" i="1" s="1"/>
  <c r="S498" i="1" s="1"/>
  <c r="B499" i="1"/>
  <c r="C499" i="1" s="1"/>
  <c r="S499" i="1" s="1"/>
  <c r="B500" i="1"/>
  <c r="C500" i="1" s="1"/>
  <c r="S500" i="1" s="1"/>
  <c r="B2" i="1"/>
  <c r="C2" i="1" s="1"/>
  <c r="S2" i="1" s="1"/>
  <c r="B6" i="1"/>
  <c r="Q3" i="1"/>
  <c r="U3" i="1" s="1"/>
  <c r="Q4" i="1"/>
  <c r="U4" i="1" s="1"/>
  <c r="Q5" i="1"/>
  <c r="U5" i="1" s="1"/>
  <c r="Q6" i="1"/>
  <c r="U6" i="1" s="1"/>
  <c r="Q7" i="1"/>
  <c r="U7" i="1" s="1"/>
  <c r="Q8" i="1"/>
  <c r="U8" i="1" s="1"/>
  <c r="Q9" i="1"/>
  <c r="U9" i="1" s="1"/>
  <c r="Q10" i="1"/>
  <c r="U10" i="1" s="1"/>
  <c r="Q11" i="1"/>
  <c r="U11" i="1" s="1"/>
  <c r="Q12" i="1"/>
  <c r="U12" i="1" s="1"/>
  <c r="Q13" i="1"/>
  <c r="U13" i="1" s="1"/>
  <c r="Q14" i="1"/>
  <c r="U14" i="1" s="1"/>
  <c r="Q15" i="1"/>
  <c r="U15" i="1" s="1"/>
  <c r="Q16" i="1"/>
  <c r="U16" i="1" s="1"/>
  <c r="Q17" i="1"/>
  <c r="U17" i="1" s="1"/>
  <c r="Q18" i="1"/>
  <c r="U18" i="1" s="1"/>
  <c r="Q19" i="1"/>
  <c r="U19" i="1" s="1"/>
  <c r="Q20" i="1"/>
  <c r="U20" i="1" s="1"/>
  <c r="Q21" i="1"/>
  <c r="U21" i="1" s="1"/>
  <c r="Q22" i="1"/>
  <c r="U22" i="1" s="1"/>
  <c r="Q23" i="1"/>
  <c r="U23" i="1" s="1"/>
  <c r="Q24" i="1"/>
  <c r="U24" i="1" s="1"/>
  <c r="Q25" i="1"/>
  <c r="U25" i="1" s="1"/>
  <c r="Q26" i="1"/>
  <c r="U26" i="1" s="1"/>
  <c r="Q27" i="1"/>
  <c r="U27" i="1" s="1"/>
  <c r="Q28" i="1"/>
  <c r="U28" i="1" s="1"/>
  <c r="Q29" i="1"/>
  <c r="U29" i="1" s="1"/>
  <c r="Q30" i="1"/>
  <c r="U30" i="1" s="1"/>
  <c r="Q31" i="1"/>
  <c r="U31" i="1" s="1"/>
  <c r="Q32" i="1"/>
  <c r="U32" i="1" s="1"/>
  <c r="Q33" i="1"/>
  <c r="U33" i="1" s="1"/>
  <c r="Q34" i="1"/>
  <c r="U34" i="1" s="1"/>
  <c r="Q35" i="1"/>
  <c r="U35" i="1" s="1"/>
  <c r="Q36" i="1"/>
  <c r="U36" i="1" s="1"/>
  <c r="Q37" i="1"/>
  <c r="U37" i="1" s="1"/>
  <c r="Q38" i="1"/>
  <c r="U38" i="1" s="1"/>
  <c r="Q39" i="1"/>
  <c r="U39" i="1" s="1"/>
  <c r="Q40" i="1"/>
  <c r="U40" i="1" s="1"/>
  <c r="Q41" i="1"/>
  <c r="U41" i="1" s="1"/>
  <c r="Q42" i="1"/>
  <c r="U42" i="1" s="1"/>
  <c r="Q43" i="1"/>
  <c r="U43" i="1" s="1"/>
  <c r="Q44" i="1"/>
  <c r="U44" i="1" s="1"/>
  <c r="Q45" i="1"/>
  <c r="U45" i="1" s="1"/>
  <c r="Q46" i="1"/>
  <c r="U46" i="1" s="1"/>
  <c r="Q47" i="1"/>
  <c r="U47" i="1" s="1"/>
  <c r="Q48" i="1"/>
  <c r="U48" i="1" s="1"/>
  <c r="Q49" i="1"/>
  <c r="U49" i="1" s="1"/>
  <c r="Q50" i="1"/>
  <c r="U50" i="1" s="1"/>
  <c r="Q51" i="1"/>
  <c r="U51" i="1" s="1"/>
  <c r="Q52" i="1"/>
  <c r="U52" i="1" s="1"/>
  <c r="Q53" i="1"/>
  <c r="U53" i="1" s="1"/>
  <c r="Q54" i="1"/>
  <c r="U54" i="1" s="1"/>
  <c r="Q55" i="1"/>
  <c r="U55" i="1" s="1"/>
  <c r="Q56" i="1"/>
  <c r="U56" i="1" s="1"/>
  <c r="Q57" i="1"/>
  <c r="U57" i="1" s="1"/>
  <c r="Q58" i="1"/>
  <c r="U58" i="1" s="1"/>
  <c r="Q59" i="1"/>
  <c r="U59" i="1" s="1"/>
  <c r="Q60" i="1"/>
  <c r="U60" i="1" s="1"/>
  <c r="Q61" i="1"/>
  <c r="U61" i="1" s="1"/>
  <c r="Q62" i="1"/>
  <c r="U62" i="1" s="1"/>
  <c r="Q63" i="1"/>
  <c r="U63" i="1" s="1"/>
  <c r="Q64" i="1"/>
  <c r="U64" i="1" s="1"/>
  <c r="Q65" i="1"/>
  <c r="U65" i="1" s="1"/>
  <c r="Q66" i="1"/>
  <c r="U66" i="1" s="1"/>
  <c r="Q67" i="1"/>
  <c r="U67" i="1" s="1"/>
  <c r="Q68" i="1"/>
  <c r="U68" i="1" s="1"/>
  <c r="Q69" i="1"/>
  <c r="U69" i="1" s="1"/>
  <c r="Q70" i="1"/>
  <c r="U70" i="1" s="1"/>
  <c r="Q71" i="1"/>
  <c r="U71" i="1" s="1"/>
  <c r="Q72" i="1"/>
  <c r="U72" i="1" s="1"/>
  <c r="Q73" i="1"/>
  <c r="U73" i="1" s="1"/>
  <c r="Q74" i="1"/>
  <c r="U74" i="1" s="1"/>
  <c r="Q75" i="1"/>
  <c r="U75" i="1" s="1"/>
  <c r="Q76" i="1"/>
  <c r="U76" i="1" s="1"/>
  <c r="Q77" i="1"/>
  <c r="U77" i="1" s="1"/>
  <c r="Q78" i="1"/>
  <c r="U78" i="1" s="1"/>
  <c r="Q79" i="1"/>
  <c r="U79" i="1" s="1"/>
  <c r="Q80" i="1"/>
  <c r="U80" i="1" s="1"/>
  <c r="Q81" i="1"/>
  <c r="U81" i="1" s="1"/>
  <c r="Q82" i="1"/>
  <c r="U82" i="1" s="1"/>
  <c r="Q83" i="1"/>
  <c r="U83" i="1" s="1"/>
  <c r="Q84" i="1"/>
  <c r="U84" i="1" s="1"/>
  <c r="Q85" i="1"/>
  <c r="U85" i="1" s="1"/>
  <c r="Q86" i="1"/>
  <c r="U86" i="1" s="1"/>
  <c r="Q87" i="1"/>
  <c r="U87" i="1" s="1"/>
  <c r="Q88" i="1"/>
  <c r="U88" i="1" s="1"/>
  <c r="Q89" i="1"/>
  <c r="U89" i="1" s="1"/>
  <c r="Q90" i="1"/>
  <c r="U90" i="1" s="1"/>
  <c r="Q91" i="1"/>
  <c r="U91" i="1" s="1"/>
  <c r="Q92" i="1"/>
  <c r="U92" i="1" s="1"/>
  <c r="Q93" i="1"/>
  <c r="U93" i="1" s="1"/>
  <c r="Q94" i="1"/>
  <c r="U94" i="1" s="1"/>
  <c r="Q95" i="1"/>
  <c r="U95" i="1" s="1"/>
  <c r="Q96" i="1"/>
  <c r="U96" i="1" s="1"/>
  <c r="Q97" i="1"/>
  <c r="U97" i="1" s="1"/>
  <c r="Q98" i="1"/>
  <c r="U98" i="1" s="1"/>
  <c r="Q99" i="1"/>
  <c r="U99" i="1" s="1"/>
  <c r="Q100" i="1"/>
  <c r="U100" i="1" s="1"/>
  <c r="Q101" i="1"/>
  <c r="U101" i="1" s="1"/>
  <c r="Q102" i="1"/>
  <c r="U102" i="1" s="1"/>
  <c r="Q103" i="1"/>
  <c r="U103" i="1" s="1"/>
  <c r="Q104" i="1"/>
  <c r="U104" i="1" s="1"/>
  <c r="Q105" i="1"/>
  <c r="U105" i="1" s="1"/>
  <c r="Q106" i="1"/>
  <c r="U106" i="1" s="1"/>
  <c r="Q107" i="1"/>
  <c r="U107" i="1" s="1"/>
  <c r="Q108" i="1"/>
  <c r="U108" i="1" s="1"/>
  <c r="Q109" i="1"/>
  <c r="U109" i="1" s="1"/>
  <c r="Q110" i="1"/>
  <c r="U110" i="1" s="1"/>
  <c r="Q111" i="1"/>
  <c r="U111" i="1" s="1"/>
  <c r="Q112" i="1"/>
  <c r="U112" i="1" s="1"/>
  <c r="Q113" i="1"/>
  <c r="U113" i="1" s="1"/>
  <c r="Q114" i="1"/>
  <c r="U114" i="1" s="1"/>
  <c r="Q115" i="1"/>
  <c r="U115" i="1" s="1"/>
  <c r="Q116" i="1"/>
  <c r="U116" i="1" s="1"/>
  <c r="Q117" i="1"/>
  <c r="U117" i="1" s="1"/>
  <c r="Q118" i="1"/>
  <c r="U118" i="1" s="1"/>
  <c r="Q119" i="1"/>
  <c r="U119" i="1" s="1"/>
  <c r="Q120" i="1"/>
  <c r="U120" i="1" s="1"/>
  <c r="Q121" i="1"/>
  <c r="U121" i="1" s="1"/>
  <c r="Q122" i="1"/>
  <c r="U122" i="1" s="1"/>
  <c r="Q123" i="1"/>
  <c r="U123" i="1" s="1"/>
  <c r="Q124" i="1"/>
  <c r="U124" i="1" s="1"/>
  <c r="Q125" i="1"/>
  <c r="U125" i="1" s="1"/>
  <c r="Q126" i="1"/>
  <c r="U126" i="1" s="1"/>
  <c r="Q127" i="1"/>
  <c r="U127" i="1" s="1"/>
  <c r="Q128" i="1"/>
  <c r="U128" i="1" s="1"/>
  <c r="Q129" i="1"/>
  <c r="U129" i="1" s="1"/>
  <c r="Q130" i="1"/>
  <c r="U130" i="1" s="1"/>
  <c r="Q131" i="1"/>
  <c r="U131" i="1" s="1"/>
  <c r="Q132" i="1"/>
  <c r="U132" i="1" s="1"/>
  <c r="Q133" i="1"/>
  <c r="U133" i="1" s="1"/>
  <c r="Q134" i="1"/>
  <c r="U134" i="1" s="1"/>
  <c r="Q135" i="1"/>
  <c r="U135" i="1" s="1"/>
  <c r="Q136" i="1"/>
  <c r="U136" i="1" s="1"/>
  <c r="Q137" i="1"/>
  <c r="U137" i="1" s="1"/>
  <c r="Q138" i="1"/>
  <c r="U138" i="1" s="1"/>
  <c r="Q139" i="1"/>
  <c r="U139" i="1" s="1"/>
  <c r="Q140" i="1"/>
  <c r="U140" i="1" s="1"/>
  <c r="Q141" i="1"/>
  <c r="U141" i="1" s="1"/>
  <c r="Q142" i="1"/>
  <c r="U142" i="1" s="1"/>
  <c r="Q143" i="1"/>
  <c r="U143" i="1" s="1"/>
  <c r="Q144" i="1"/>
  <c r="U144" i="1" s="1"/>
  <c r="Q145" i="1"/>
  <c r="U145" i="1" s="1"/>
  <c r="Q146" i="1"/>
  <c r="U146" i="1" s="1"/>
  <c r="Q147" i="1"/>
  <c r="U147" i="1" s="1"/>
  <c r="Q148" i="1"/>
  <c r="U148" i="1" s="1"/>
  <c r="Q149" i="1"/>
  <c r="U149" i="1" s="1"/>
  <c r="Q150" i="1"/>
  <c r="U150" i="1" s="1"/>
  <c r="Q151" i="1"/>
  <c r="U151" i="1" s="1"/>
  <c r="Q152" i="1"/>
  <c r="U152" i="1" s="1"/>
  <c r="Q153" i="1"/>
  <c r="U153" i="1" s="1"/>
  <c r="Q154" i="1"/>
  <c r="U154" i="1" s="1"/>
  <c r="Q155" i="1"/>
  <c r="U155" i="1" s="1"/>
  <c r="Q156" i="1"/>
  <c r="U156" i="1" s="1"/>
  <c r="Q157" i="1"/>
  <c r="U157" i="1" s="1"/>
  <c r="Q158" i="1"/>
  <c r="U158" i="1" s="1"/>
  <c r="Q159" i="1"/>
  <c r="U159" i="1" s="1"/>
  <c r="Q160" i="1"/>
  <c r="U160" i="1" s="1"/>
  <c r="Q161" i="1"/>
  <c r="U161" i="1" s="1"/>
  <c r="Q162" i="1"/>
  <c r="U162" i="1" s="1"/>
  <c r="Q163" i="1"/>
  <c r="U163" i="1" s="1"/>
  <c r="Q164" i="1"/>
  <c r="U164" i="1" s="1"/>
  <c r="Q165" i="1"/>
  <c r="U165" i="1" s="1"/>
  <c r="Q166" i="1"/>
  <c r="U166" i="1" s="1"/>
  <c r="Q167" i="1"/>
  <c r="U167" i="1" s="1"/>
  <c r="Q168" i="1"/>
  <c r="U168" i="1" s="1"/>
  <c r="Q169" i="1"/>
  <c r="U169" i="1" s="1"/>
  <c r="Q170" i="1"/>
  <c r="U170" i="1" s="1"/>
  <c r="Q171" i="1"/>
  <c r="U171" i="1" s="1"/>
  <c r="Q172" i="1"/>
  <c r="U172" i="1" s="1"/>
  <c r="Q173" i="1"/>
  <c r="U173" i="1" s="1"/>
  <c r="Q174" i="1"/>
  <c r="U174" i="1" s="1"/>
  <c r="Q175" i="1"/>
  <c r="U175" i="1" s="1"/>
  <c r="Q176" i="1"/>
  <c r="U176" i="1" s="1"/>
  <c r="Q177" i="1"/>
  <c r="U177" i="1" s="1"/>
  <c r="Q178" i="1"/>
  <c r="U178" i="1" s="1"/>
  <c r="Q179" i="1"/>
  <c r="U179" i="1" s="1"/>
  <c r="Q180" i="1"/>
  <c r="U180" i="1" s="1"/>
  <c r="Q181" i="1"/>
  <c r="U181" i="1" s="1"/>
  <c r="Q182" i="1"/>
  <c r="U182" i="1" s="1"/>
  <c r="Q183" i="1"/>
  <c r="U183" i="1" s="1"/>
  <c r="Q184" i="1"/>
  <c r="U184" i="1" s="1"/>
  <c r="Q185" i="1"/>
  <c r="U185" i="1" s="1"/>
  <c r="Q186" i="1"/>
  <c r="U186" i="1" s="1"/>
  <c r="Q187" i="1"/>
  <c r="U187" i="1" s="1"/>
  <c r="Q188" i="1"/>
  <c r="U188" i="1" s="1"/>
  <c r="Q189" i="1"/>
  <c r="U189" i="1" s="1"/>
  <c r="Q190" i="1"/>
  <c r="U190" i="1" s="1"/>
  <c r="Q191" i="1"/>
  <c r="U191" i="1" s="1"/>
  <c r="Q192" i="1"/>
  <c r="U192" i="1" s="1"/>
  <c r="Q193" i="1"/>
  <c r="U193" i="1" s="1"/>
  <c r="Q194" i="1"/>
  <c r="U194" i="1" s="1"/>
  <c r="Q195" i="1"/>
  <c r="U195" i="1" s="1"/>
  <c r="Q196" i="1"/>
  <c r="U196" i="1" s="1"/>
  <c r="Q197" i="1"/>
  <c r="U197" i="1" s="1"/>
  <c r="Q198" i="1"/>
  <c r="U198" i="1" s="1"/>
  <c r="Q199" i="1"/>
  <c r="U199" i="1" s="1"/>
  <c r="Q200" i="1"/>
  <c r="U200" i="1" s="1"/>
  <c r="Q201" i="1"/>
  <c r="U201" i="1" s="1"/>
  <c r="Q202" i="1"/>
  <c r="U202" i="1" s="1"/>
  <c r="Q203" i="1"/>
  <c r="U203" i="1" s="1"/>
  <c r="Q204" i="1"/>
  <c r="U204" i="1" s="1"/>
  <c r="Q205" i="1"/>
  <c r="U205" i="1" s="1"/>
  <c r="Q206" i="1"/>
  <c r="U206" i="1" s="1"/>
  <c r="Q207" i="1"/>
  <c r="U207" i="1" s="1"/>
  <c r="Q208" i="1"/>
  <c r="U208" i="1" s="1"/>
  <c r="Q209" i="1"/>
  <c r="U209" i="1" s="1"/>
  <c r="Q210" i="1"/>
  <c r="U210" i="1" s="1"/>
  <c r="Q211" i="1"/>
  <c r="U211" i="1" s="1"/>
  <c r="Q212" i="1"/>
  <c r="U212" i="1" s="1"/>
  <c r="Q213" i="1"/>
  <c r="U213" i="1" s="1"/>
  <c r="Q214" i="1"/>
  <c r="U214" i="1" s="1"/>
  <c r="Q215" i="1"/>
  <c r="U215" i="1" s="1"/>
  <c r="Q216" i="1"/>
  <c r="U216" i="1" s="1"/>
  <c r="Q217" i="1"/>
  <c r="U217" i="1" s="1"/>
  <c r="Q218" i="1"/>
  <c r="U218" i="1" s="1"/>
  <c r="Q219" i="1"/>
  <c r="U219" i="1" s="1"/>
  <c r="Q220" i="1"/>
  <c r="U220" i="1" s="1"/>
  <c r="Q221" i="1"/>
  <c r="U221" i="1" s="1"/>
  <c r="Q222" i="1"/>
  <c r="U222" i="1" s="1"/>
  <c r="Q223" i="1"/>
  <c r="U223" i="1" s="1"/>
  <c r="Q224" i="1"/>
  <c r="U224" i="1" s="1"/>
  <c r="Q225" i="1"/>
  <c r="U225" i="1" s="1"/>
  <c r="Q226" i="1"/>
  <c r="U226" i="1" s="1"/>
  <c r="Q227" i="1"/>
  <c r="U227" i="1" s="1"/>
  <c r="Q228" i="1"/>
  <c r="U228" i="1" s="1"/>
  <c r="Q229" i="1"/>
  <c r="U229" i="1" s="1"/>
  <c r="Q230" i="1"/>
  <c r="U230" i="1" s="1"/>
  <c r="Q231" i="1"/>
  <c r="U231" i="1" s="1"/>
  <c r="Q232" i="1"/>
  <c r="U232" i="1" s="1"/>
  <c r="Q233" i="1"/>
  <c r="U233" i="1" s="1"/>
  <c r="Q234" i="1"/>
  <c r="U234" i="1" s="1"/>
  <c r="Q235" i="1"/>
  <c r="U235" i="1" s="1"/>
  <c r="Q236" i="1"/>
  <c r="U236" i="1" s="1"/>
  <c r="Q237" i="1"/>
  <c r="U237" i="1" s="1"/>
  <c r="Q238" i="1"/>
  <c r="U238" i="1" s="1"/>
  <c r="Q239" i="1"/>
  <c r="U239" i="1" s="1"/>
  <c r="Q240" i="1"/>
  <c r="U240" i="1" s="1"/>
  <c r="Q241" i="1"/>
  <c r="U241" i="1" s="1"/>
  <c r="Q242" i="1"/>
  <c r="U242" i="1" s="1"/>
  <c r="Q243" i="1"/>
  <c r="U243" i="1" s="1"/>
  <c r="Q244" i="1"/>
  <c r="U244" i="1" s="1"/>
  <c r="Q245" i="1"/>
  <c r="U245" i="1" s="1"/>
  <c r="Q246" i="1"/>
  <c r="U246" i="1" s="1"/>
  <c r="Q247" i="1"/>
  <c r="U247" i="1" s="1"/>
  <c r="Q248" i="1"/>
  <c r="U248" i="1" s="1"/>
  <c r="Q249" i="1"/>
  <c r="U249" i="1" s="1"/>
  <c r="Q250" i="1"/>
  <c r="U250" i="1" s="1"/>
  <c r="Q251" i="1"/>
  <c r="U251" i="1" s="1"/>
  <c r="Q252" i="1"/>
  <c r="U252" i="1" s="1"/>
  <c r="Q253" i="1"/>
  <c r="U253" i="1" s="1"/>
  <c r="Q254" i="1"/>
  <c r="U254" i="1" s="1"/>
  <c r="Q255" i="1"/>
  <c r="U255" i="1" s="1"/>
  <c r="Q256" i="1"/>
  <c r="U256" i="1" s="1"/>
  <c r="Q257" i="1"/>
  <c r="U257" i="1" s="1"/>
  <c r="Q258" i="1"/>
  <c r="U258" i="1" s="1"/>
  <c r="Q259" i="1"/>
  <c r="U259" i="1" s="1"/>
  <c r="Q260" i="1"/>
  <c r="U260" i="1" s="1"/>
  <c r="Q261" i="1"/>
  <c r="U261" i="1" s="1"/>
  <c r="Q262" i="1"/>
  <c r="U262" i="1" s="1"/>
  <c r="Q263" i="1"/>
  <c r="U263" i="1" s="1"/>
  <c r="Q264" i="1"/>
  <c r="U264" i="1" s="1"/>
  <c r="Q265" i="1"/>
  <c r="U265" i="1" s="1"/>
  <c r="Q266" i="1"/>
  <c r="U266" i="1" s="1"/>
  <c r="Q267" i="1"/>
  <c r="U267" i="1" s="1"/>
  <c r="Q268" i="1"/>
  <c r="U268" i="1" s="1"/>
  <c r="Q269" i="1"/>
  <c r="U269" i="1" s="1"/>
  <c r="Q270" i="1"/>
  <c r="U270" i="1" s="1"/>
  <c r="Q271" i="1"/>
  <c r="U271" i="1" s="1"/>
  <c r="Q272" i="1"/>
  <c r="U272" i="1" s="1"/>
  <c r="Q273" i="1"/>
  <c r="U273" i="1" s="1"/>
  <c r="Q274" i="1"/>
  <c r="U274" i="1" s="1"/>
  <c r="Q275" i="1"/>
  <c r="U275" i="1" s="1"/>
  <c r="Q276" i="1"/>
  <c r="U276" i="1" s="1"/>
  <c r="Q277" i="1"/>
  <c r="U277" i="1" s="1"/>
  <c r="Q278" i="1"/>
  <c r="U278" i="1" s="1"/>
  <c r="Q279" i="1"/>
  <c r="U279" i="1" s="1"/>
  <c r="Q280" i="1"/>
  <c r="U280" i="1" s="1"/>
  <c r="Q281" i="1"/>
  <c r="U281" i="1" s="1"/>
  <c r="Q282" i="1"/>
  <c r="U282" i="1" s="1"/>
  <c r="Q283" i="1"/>
  <c r="U283" i="1" s="1"/>
  <c r="Q284" i="1"/>
  <c r="U284" i="1" s="1"/>
  <c r="Q285" i="1"/>
  <c r="U285" i="1" s="1"/>
  <c r="Q286" i="1"/>
  <c r="U286" i="1" s="1"/>
  <c r="Q287" i="1"/>
  <c r="U287" i="1" s="1"/>
  <c r="Q288" i="1"/>
  <c r="U288" i="1" s="1"/>
  <c r="Q289" i="1"/>
  <c r="U289" i="1" s="1"/>
  <c r="Q290" i="1"/>
  <c r="U290" i="1" s="1"/>
  <c r="Q291" i="1"/>
  <c r="U291" i="1" s="1"/>
  <c r="Q292" i="1"/>
  <c r="U292" i="1" s="1"/>
  <c r="Q293" i="1"/>
  <c r="U293" i="1" s="1"/>
  <c r="Q294" i="1"/>
  <c r="U294" i="1" s="1"/>
  <c r="Q295" i="1"/>
  <c r="U295" i="1" s="1"/>
  <c r="Q296" i="1"/>
  <c r="U296" i="1" s="1"/>
  <c r="Q297" i="1"/>
  <c r="U297" i="1" s="1"/>
  <c r="Q298" i="1"/>
  <c r="U298" i="1" s="1"/>
  <c r="Q299" i="1"/>
  <c r="U299" i="1" s="1"/>
  <c r="Q300" i="1"/>
  <c r="U300" i="1" s="1"/>
  <c r="Q301" i="1"/>
  <c r="U301" i="1" s="1"/>
  <c r="Q302" i="1"/>
  <c r="U302" i="1" s="1"/>
  <c r="Q303" i="1"/>
  <c r="U303" i="1" s="1"/>
  <c r="Q304" i="1"/>
  <c r="U304" i="1" s="1"/>
  <c r="Q305" i="1"/>
  <c r="U305" i="1" s="1"/>
  <c r="Q306" i="1"/>
  <c r="U306" i="1" s="1"/>
  <c r="Q307" i="1"/>
  <c r="U307" i="1" s="1"/>
  <c r="Q308" i="1"/>
  <c r="U308" i="1" s="1"/>
  <c r="Q309" i="1"/>
  <c r="U309" i="1" s="1"/>
  <c r="Q310" i="1"/>
  <c r="U310" i="1" s="1"/>
  <c r="Q311" i="1"/>
  <c r="U311" i="1" s="1"/>
  <c r="Q312" i="1"/>
  <c r="U312" i="1" s="1"/>
  <c r="Q313" i="1"/>
  <c r="U313" i="1" s="1"/>
  <c r="Q314" i="1"/>
  <c r="U314" i="1" s="1"/>
  <c r="Q315" i="1"/>
  <c r="U315" i="1" s="1"/>
  <c r="Q316" i="1"/>
  <c r="U316" i="1" s="1"/>
  <c r="Q317" i="1"/>
  <c r="U317" i="1" s="1"/>
  <c r="Q318" i="1"/>
  <c r="U318" i="1" s="1"/>
  <c r="Q319" i="1"/>
  <c r="U319" i="1" s="1"/>
  <c r="Q320" i="1"/>
  <c r="U320" i="1" s="1"/>
  <c r="Q321" i="1"/>
  <c r="U321" i="1" s="1"/>
  <c r="Q322" i="1"/>
  <c r="U322" i="1" s="1"/>
  <c r="Q323" i="1"/>
  <c r="U323" i="1" s="1"/>
  <c r="Q324" i="1"/>
  <c r="U324" i="1" s="1"/>
  <c r="Q325" i="1"/>
  <c r="U325" i="1" s="1"/>
  <c r="Q326" i="1"/>
  <c r="U326" i="1" s="1"/>
  <c r="Q327" i="1"/>
  <c r="U327" i="1" s="1"/>
  <c r="Q328" i="1"/>
  <c r="U328" i="1" s="1"/>
  <c r="Q329" i="1"/>
  <c r="U329" i="1" s="1"/>
  <c r="Q330" i="1"/>
  <c r="U330" i="1" s="1"/>
  <c r="Q331" i="1"/>
  <c r="U331" i="1" s="1"/>
  <c r="Q332" i="1"/>
  <c r="U332" i="1" s="1"/>
  <c r="Q333" i="1"/>
  <c r="U333" i="1" s="1"/>
  <c r="Q334" i="1"/>
  <c r="U334" i="1" s="1"/>
  <c r="Q335" i="1"/>
  <c r="U335" i="1" s="1"/>
  <c r="Q336" i="1"/>
  <c r="U336" i="1" s="1"/>
  <c r="Q337" i="1"/>
  <c r="U337" i="1" s="1"/>
  <c r="Q338" i="1"/>
  <c r="U338" i="1" s="1"/>
  <c r="Q339" i="1"/>
  <c r="U339" i="1" s="1"/>
  <c r="Q340" i="1"/>
  <c r="U340" i="1" s="1"/>
  <c r="Q341" i="1"/>
  <c r="U341" i="1" s="1"/>
  <c r="Q342" i="1"/>
  <c r="U342" i="1" s="1"/>
  <c r="Q343" i="1"/>
  <c r="U343" i="1" s="1"/>
  <c r="Q344" i="1"/>
  <c r="U344" i="1" s="1"/>
  <c r="Q345" i="1"/>
  <c r="U345" i="1" s="1"/>
  <c r="Q346" i="1"/>
  <c r="U346" i="1" s="1"/>
  <c r="Q347" i="1"/>
  <c r="U347" i="1" s="1"/>
  <c r="Q348" i="1"/>
  <c r="U348" i="1" s="1"/>
  <c r="Q349" i="1"/>
  <c r="U349" i="1" s="1"/>
  <c r="Q350" i="1"/>
  <c r="U350" i="1" s="1"/>
  <c r="Q351" i="1"/>
  <c r="U351" i="1" s="1"/>
  <c r="Q352" i="1"/>
  <c r="U352" i="1" s="1"/>
  <c r="Q353" i="1"/>
  <c r="U353" i="1" s="1"/>
  <c r="Q354" i="1"/>
  <c r="U354" i="1" s="1"/>
  <c r="Q355" i="1"/>
  <c r="U355" i="1" s="1"/>
  <c r="Q356" i="1"/>
  <c r="U356" i="1" s="1"/>
  <c r="Q357" i="1"/>
  <c r="U357" i="1" s="1"/>
  <c r="Q358" i="1"/>
  <c r="U358" i="1" s="1"/>
  <c r="Q359" i="1"/>
  <c r="U359" i="1" s="1"/>
  <c r="Q360" i="1"/>
  <c r="U360" i="1" s="1"/>
  <c r="Q361" i="1"/>
  <c r="U361" i="1" s="1"/>
  <c r="Q362" i="1"/>
  <c r="U362" i="1" s="1"/>
  <c r="Q363" i="1"/>
  <c r="U363" i="1" s="1"/>
  <c r="Q364" i="1"/>
  <c r="U364" i="1" s="1"/>
  <c r="Q365" i="1"/>
  <c r="U365" i="1" s="1"/>
  <c r="Q366" i="1"/>
  <c r="U366" i="1" s="1"/>
  <c r="Q367" i="1"/>
  <c r="U367" i="1" s="1"/>
  <c r="Q368" i="1"/>
  <c r="U368" i="1" s="1"/>
  <c r="Q369" i="1"/>
  <c r="U369" i="1" s="1"/>
  <c r="Q370" i="1"/>
  <c r="U370" i="1" s="1"/>
  <c r="Q371" i="1"/>
  <c r="U371" i="1" s="1"/>
  <c r="Q372" i="1"/>
  <c r="U372" i="1" s="1"/>
  <c r="Q373" i="1"/>
  <c r="U373" i="1" s="1"/>
  <c r="Q374" i="1"/>
  <c r="U374" i="1" s="1"/>
  <c r="Q375" i="1"/>
  <c r="U375" i="1" s="1"/>
  <c r="Q376" i="1"/>
  <c r="U376" i="1" s="1"/>
  <c r="Q377" i="1"/>
  <c r="U377" i="1" s="1"/>
  <c r="Q378" i="1"/>
  <c r="U378" i="1" s="1"/>
  <c r="Q379" i="1"/>
  <c r="U379" i="1" s="1"/>
  <c r="Q380" i="1"/>
  <c r="U380" i="1" s="1"/>
  <c r="Q381" i="1"/>
  <c r="U381" i="1" s="1"/>
  <c r="Q382" i="1"/>
  <c r="U382" i="1" s="1"/>
  <c r="Q383" i="1"/>
  <c r="U383" i="1" s="1"/>
  <c r="Q384" i="1"/>
  <c r="U384" i="1" s="1"/>
  <c r="Q385" i="1"/>
  <c r="U385" i="1" s="1"/>
  <c r="Q386" i="1"/>
  <c r="U386" i="1" s="1"/>
  <c r="Q387" i="1"/>
  <c r="U387" i="1" s="1"/>
  <c r="Q388" i="1"/>
  <c r="U388" i="1" s="1"/>
  <c r="Q389" i="1"/>
  <c r="U389" i="1" s="1"/>
  <c r="Q390" i="1"/>
  <c r="U390" i="1" s="1"/>
  <c r="Q391" i="1"/>
  <c r="U391" i="1" s="1"/>
  <c r="Q392" i="1"/>
  <c r="U392" i="1" s="1"/>
  <c r="Q393" i="1"/>
  <c r="U393" i="1" s="1"/>
  <c r="Q394" i="1"/>
  <c r="U394" i="1" s="1"/>
  <c r="Q395" i="1"/>
  <c r="U395" i="1" s="1"/>
  <c r="Q396" i="1"/>
  <c r="U396" i="1" s="1"/>
  <c r="Q397" i="1"/>
  <c r="U397" i="1" s="1"/>
  <c r="Q398" i="1"/>
  <c r="U398" i="1" s="1"/>
  <c r="Q399" i="1"/>
  <c r="U399" i="1" s="1"/>
  <c r="Q400" i="1"/>
  <c r="U400" i="1" s="1"/>
  <c r="Q401" i="1"/>
  <c r="U401" i="1" s="1"/>
  <c r="Q402" i="1"/>
  <c r="U402" i="1" s="1"/>
  <c r="Q403" i="1"/>
  <c r="U403" i="1" s="1"/>
  <c r="Q404" i="1"/>
  <c r="U404" i="1" s="1"/>
  <c r="Q405" i="1"/>
  <c r="U405" i="1" s="1"/>
  <c r="Q406" i="1"/>
  <c r="U406" i="1" s="1"/>
  <c r="Q407" i="1"/>
  <c r="U407" i="1" s="1"/>
  <c r="Q408" i="1"/>
  <c r="U408" i="1" s="1"/>
  <c r="Q409" i="1"/>
  <c r="U409" i="1" s="1"/>
  <c r="Q410" i="1"/>
  <c r="U410" i="1" s="1"/>
  <c r="Q411" i="1"/>
  <c r="U411" i="1" s="1"/>
  <c r="Q412" i="1"/>
  <c r="U412" i="1" s="1"/>
  <c r="Q413" i="1"/>
  <c r="U413" i="1" s="1"/>
  <c r="Q414" i="1"/>
  <c r="U414" i="1" s="1"/>
  <c r="Q415" i="1"/>
  <c r="U415" i="1" s="1"/>
  <c r="Q416" i="1"/>
  <c r="U416" i="1" s="1"/>
  <c r="Q417" i="1"/>
  <c r="U417" i="1" s="1"/>
  <c r="Q418" i="1"/>
  <c r="U418" i="1" s="1"/>
  <c r="Q419" i="1"/>
  <c r="U419" i="1" s="1"/>
  <c r="Q420" i="1"/>
  <c r="U420" i="1" s="1"/>
  <c r="Q421" i="1"/>
  <c r="U421" i="1" s="1"/>
  <c r="Q422" i="1"/>
  <c r="U422" i="1" s="1"/>
  <c r="Q423" i="1"/>
  <c r="U423" i="1" s="1"/>
  <c r="Q424" i="1"/>
  <c r="U424" i="1" s="1"/>
  <c r="Q425" i="1"/>
  <c r="U425" i="1" s="1"/>
  <c r="Q426" i="1"/>
  <c r="U426" i="1" s="1"/>
  <c r="Q427" i="1"/>
  <c r="U427" i="1" s="1"/>
  <c r="Q428" i="1"/>
  <c r="U428" i="1" s="1"/>
  <c r="Q429" i="1"/>
  <c r="U429" i="1" s="1"/>
  <c r="Q430" i="1"/>
  <c r="U430" i="1" s="1"/>
  <c r="Q431" i="1"/>
  <c r="U431" i="1" s="1"/>
  <c r="Q432" i="1"/>
  <c r="U432" i="1" s="1"/>
  <c r="Q433" i="1"/>
  <c r="U433" i="1" s="1"/>
  <c r="Q434" i="1"/>
  <c r="U434" i="1" s="1"/>
  <c r="Q435" i="1"/>
  <c r="U435" i="1" s="1"/>
  <c r="Q436" i="1"/>
  <c r="U436" i="1" s="1"/>
  <c r="Q437" i="1"/>
  <c r="U437" i="1" s="1"/>
  <c r="Q438" i="1"/>
  <c r="U438" i="1" s="1"/>
  <c r="Q439" i="1"/>
  <c r="U439" i="1" s="1"/>
  <c r="Q440" i="1"/>
  <c r="U440" i="1" s="1"/>
  <c r="Q441" i="1"/>
  <c r="U441" i="1" s="1"/>
  <c r="Q442" i="1"/>
  <c r="U442" i="1" s="1"/>
  <c r="Q443" i="1"/>
  <c r="U443" i="1" s="1"/>
  <c r="Q444" i="1"/>
  <c r="U444" i="1" s="1"/>
  <c r="Q445" i="1"/>
  <c r="U445" i="1" s="1"/>
  <c r="Q446" i="1"/>
  <c r="U446" i="1" s="1"/>
  <c r="Q447" i="1"/>
  <c r="U447" i="1" s="1"/>
  <c r="Q448" i="1"/>
  <c r="U448" i="1" s="1"/>
  <c r="Q449" i="1"/>
  <c r="U449" i="1" s="1"/>
  <c r="Q450" i="1"/>
  <c r="U450" i="1" s="1"/>
  <c r="Q451" i="1"/>
  <c r="U451" i="1" s="1"/>
  <c r="Q452" i="1"/>
  <c r="U452" i="1" s="1"/>
  <c r="Q453" i="1"/>
  <c r="U453" i="1" s="1"/>
  <c r="Q454" i="1"/>
  <c r="U454" i="1" s="1"/>
  <c r="Q455" i="1"/>
  <c r="U455" i="1" s="1"/>
  <c r="Q456" i="1"/>
  <c r="U456" i="1" s="1"/>
  <c r="Q457" i="1"/>
  <c r="U457" i="1" s="1"/>
  <c r="Q458" i="1"/>
  <c r="U458" i="1" s="1"/>
  <c r="Q459" i="1"/>
  <c r="U459" i="1" s="1"/>
  <c r="Q460" i="1"/>
  <c r="U460" i="1" s="1"/>
  <c r="Q461" i="1"/>
  <c r="U461" i="1" s="1"/>
  <c r="Q462" i="1"/>
  <c r="U462" i="1" s="1"/>
  <c r="Q463" i="1"/>
  <c r="U463" i="1" s="1"/>
  <c r="Q464" i="1"/>
  <c r="U464" i="1" s="1"/>
  <c r="Q465" i="1"/>
  <c r="U465" i="1" s="1"/>
  <c r="Q466" i="1"/>
  <c r="U466" i="1" s="1"/>
  <c r="Q467" i="1"/>
  <c r="U467" i="1" s="1"/>
  <c r="Q468" i="1"/>
  <c r="U468" i="1" s="1"/>
  <c r="Q469" i="1"/>
  <c r="U469" i="1" s="1"/>
  <c r="Q470" i="1"/>
  <c r="U470" i="1" s="1"/>
  <c r="Q471" i="1"/>
  <c r="U471" i="1" s="1"/>
  <c r="Q472" i="1"/>
  <c r="U472" i="1" s="1"/>
  <c r="Q473" i="1"/>
  <c r="U473" i="1" s="1"/>
  <c r="Q474" i="1"/>
  <c r="U474" i="1" s="1"/>
  <c r="Q475" i="1"/>
  <c r="U475" i="1" s="1"/>
  <c r="Q476" i="1"/>
  <c r="U476" i="1" s="1"/>
  <c r="Q477" i="1"/>
  <c r="U477" i="1" s="1"/>
  <c r="Q478" i="1"/>
  <c r="U478" i="1" s="1"/>
  <c r="Q479" i="1"/>
  <c r="U479" i="1" s="1"/>
  <c r="Q480" i="1"/>
  <c r="U480" i="1" s="1"/>
  <c r="Q481" i="1"/>
  <c r="U481" i="1" s="1"/>
  <c r="Q482" i="1"/>
  <c r="U482" i="1" s="1"/>
  <c r="Q483" i="1"/>
  <c r="U483" i="1" s="1"/>
  <c r="Q484" i="1"/>
  <c r="U484" i="1" s="1"/>
  <c r="Q485" i="1"/>
  <c r="U485" i="1" s="1"/>
  <c r="Q486" i="1"/>
  <c r="U486" i="1" s="1"/>
  <c r="Q487" i="1"/>
  <c r="U487" i="1" s="1"/>
  <c r="Q488" i="1"/>
  <c r="U488" i="1" s="1"/>
  <c r="Q489" i="1"/>
  <c r="U489" i="1" s="1"/>
  <c r="Q490" i="1"/>
  <c r="U490" i="1" s="1"/>
  <c r="Q491" i="1"/>
  <c r="U491" i="1" s="1"/>
  <c r="Q492" i="1"/>
  <c r="U492" i="1" s="1"/>
  <c r="Q493" i="1"/>
  <c r="U493" i="1" s="1"/>
  <c r="Q494" i="1"/>
  <c r="U494" i="1" s="1"/>
  <c r="Q495" i="1"/>
  <c r="U495" i="1" s="1"/>
  <c r="Q496" i="1"/>
  <c r="U496" i="1" s="1"/>
  <c r="Q497" i="1"/>
  <c r="U497" i="1" s="1"/>
  <c r="Q498" i="1"/>
  <c r="U498" i="1" s="1"/>
  <c r="Q499" i="1"/>
  <c r="U499" i="1" s="1"/>
  <c r="Q500" i="1"/>
  <c r="U500" i="1" s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R28" i="1" s="1"/>
  <c r="T28" i="1" s="1"/>
  <c r="O29" i="1"/>
  <c r="O30" i="1"/>
  <c r="O31" i="1"/>
  <c r="O32" i="1"/>
  <c r="O33" i="1"/>
  <c r="O34" i="1"/>
  <c r="O35" i="1"/>
  <c r="O36" i="1"/>
  <c r="O37" i="1"/>
  <c r="O38" i="1"/>
  <c r="O39" i="1"/>
  <c r="R39" i="1" s="1"/>
  <c r="T39" i="1" s="1"/>
  <c r="O40" i="1"/>
  <c r="R40" i="1" s="1"/>
  <c r="T40" i="1" s="1"/>
  <c r="O41" i="1"/>
  <c r="O42" i="1"/>
  <c r="O43" i="1"/>
  <c r="O44" i="1"/>
  <c r="O45" i="1"/>
  <c r="O46" i="1"/>
  <c r="O47" i="1"/>
  <c r="O48" i="1"/>
  <c r="O49" i="1"/>
  <c r="O50" i="1"/>
  <c r="O51" i="1"/>
  <c r="R51" i="1" s="1"/>
  <c r="T51" i="1" s="1"/>
  <c r="O52" i="1"/>
  <c r="R52" i="1" s="1"/>
  <c r="T52" i="1" s="1"/>
  <c r="O53" i="1"/>
  <c r="O54" i="1"/>
  <c r="R54" i="1" s="1"/>
  <c r="T54" i="1" s="1"/>
  <c r="O55" i="1"/>
  <c r="R55" i="1" s="1"/>
  <c r="T55" i="1" s="1"/>
  <c r="O56" i="1"/>
  <c r="O57" i="1"/>
  <c r="O58" i="1"/>
  <c r="O59" i="1"/>
  <c r="O60" i="1"/>
  <c r="O61" i="1"/>
  <c r="O62" i="1"/>
  <c r="O63" i="1"/>
  <c r="R63" i="1" s="1"/>
  <c r="T63" i="1" s="1"/>
  <c r="O64" i="1"/>
  <c r="O65" i="1"/>
  <c r="R65" i="1" s="1"/>
  <c r="T65" i="1" s="1"/>
  <c r="O66" i="1"/>
  <c r="R66" i="1" s="1"/>
  <c r="T66" i="1" s="1"/>
  <c r="O67" i="1"/>
  <c r="R67" i="1" s="1"/>
  <c r="T67" i="1" s="1"/>
  <c r="O68" i="1"/>
  <c r="R68" i="1" s="1"/>
  <c r="T68" i="1" s="1"/>
  <c r="O69" i="1"/>
  <c r="R69" i="1" s="1"/>
  <c r="T69" i="1" s="1"/>
  <c r="O70" i="1"/>
  <c r="R70" i="1" s="1"/>
  <c r="T70" i="1" s="1"/>
  <c r="O71" i="1"/>
  <c r="O72" i="1"/>
  <c r="O73" i="1"/>
  <c r="O74" i="1"/>
  <c r="O75" i="1"/>
  <c r="R75" i="1" s="1"/>
  <c r="T75" i="1" s="1"/>
  <c r="O76" i="1"/>
  <c r="R76" i="1" s="1"/>
  <c r="T76" i="1" s="1"/>
  <c r="O77" i="1"/>
  <c r="O78" i="1"/>
  <c r="R78" i="1" s="1"/>
  <c r="T78" i="1" s="1"/>
  <c r="O79" i="1"/>
  <c r="R79" i="1" s="1"/>
  <c r="T79" i="1" s="1"/>
  <c r="O80" i="1"/>
  <c r="R80" i="1" s="1"/>
  <c r="T80" i="1" s="1"/>
  <c r="O81" i="1"/>
  <c r="R81" i="1" s="1"/>
  <c r="T81" i="1" s="1"/>
  <c r="O82" i="1"/>
  <c r="O83" i="1"/>
  <c r="R83" i="1" s="1"/>
  <c r="T83" i="1" s="1"/>
  <c r="O84" i="1"/>
  <c r="O85" i="1"/>
  <c r="O86" i="1"/>
  <c r="O87" i="1"/>
  <c r="R87" i="1" s="1"/>
  <c r="T87" i="1" s="1"/>
  <c r="O88" i="1"/>
  <c r="O89" i="1"/>
  <c r="O90" i="1"/>
  <c r="R90" i="1" s="1"/>
  <c r="T90" i="1" s="1"/>
  <c r="O91" i="1"/>
  <c r="R91" i="1" s="1"/>
  <c r="T91" i="1" s="1"/>
  <c r="O92" i="1"/>
  <c r="O93" i="1"/>
  <c r="R93" i="1" s="1"/>
  <c r="T93" i="1" s="1"/>
  <c r="O94" i="1"/>
  <c r="R94" i="1" s="1"/>
  <c r="T94" i="1" s="1"/>
  <c r="O95" i="1"/>
  <c r="R95" i="1" s="1"/>
  <c r="T95" i="1" s="1"/>
  <c r="O96" i="1"/>
  <c r="O97" i="1"/>
  <c r="O98" i="1"/>
  <c r="O99" i="1"/>
  <c r="O100" i="1"/>
  <c r="R100" i="1" s="1"/>
  <c r="T100" i="1" s="1"/>
  <c r="O101" i="1"/>
  <c r="R101" i="1" s="1"/>
  <c r="T101" i="1" s="1"/>
  <c r="O102" i="1"/>
  <c r="O103" i="1"/>
  <c r="R103" i="1" s="1"/>
  <c r="T103" i="1" s="1"/>
  <c r="O104" i="1"/>
  <c r="R104" i="1" s="1"/>
  <c r="T104" i="1" s="1"/>
  <c r="O105" i="1"/>
  <c r="R105" i="1" s="1"/>
  <c r="T105" i="1" s="1"/>
  <c r="O106" i="1"/>
  <c r="R106" i="1" s="1"/>
  <c r="T106" i="1" s="1"/>
  <c r="O107" i="1"/>
  <c r="O108" i="1"/>
  <c r="R108" i="1" s="1"/>
  <c r="T108" i="1" s="1"/>
  <c r="O109" i="1"/>
  <c r="O110" i="1"/>
  <c r="R110" i="1" s="1"/>
  <c r="T110" i="1" s="1"/>
  <c r="O111" i="1"/>
  <c r="R111" i="1" s="1"/>
  <c r="T111" i="1" s="1"/>
  <c r="O112" i="1"/>
  <c r="R112" i="1" s="1"/>
  <c r="T112" i="1" s="1"/>
  <c r="O113" i="1"/>
  <c r="R113" i="1" s="1"/>
  <c r="T113" i="1" s="1"/>
  <c r="O114" i="1"/>
  <c r="R114" i="1" s="1"/>
  <c r="T114" i="1" s="1"/>
  <c r="O115" i="1"/>
  <c r="R115" i="1" s="1"/>
  <c r="T115" i="1" s="1"/>
  <c r="O116" i="1"/>
  <c r="R116" i="1" s="1"/>
  <c r="T116" i="1" s="1"/>
  <c r="O117" i="1"/>
  <c r="O118" i="1"/>
  <c r="R118" i="1" s="1"/>
  <c r="T118" i="1" s="1"/>
  <c r="O119" i="1"/>
  <c r="R119" i="1" s="1"/>
  <c r="T119" i="1" s="1"/>
  <c r="O120" i="1"/>
  <c r="O121" i="1"/>
  <c r="R121" i="1" s="1"/>
  <c r="T121" i="1" s="1"/>
  <c r="O122" i="1"/>
  <c r="O123" i="1"/>
  <c r="R123" i="1" s="1"/>
  <c r="T123" i="1" s="1"/>
  <c r="O124" i="1"/>
  <c r="R124" i="1" s="1"/>
  <c r="T124" i="1" s="1"/>
  <c r="O125" i="1"/>
  <c r="O126" i="1"/>
  <c r="R126" i="1" s="1"/>
  <c r="T126" i="1" s="1"/>
  <c r="O127" i="1"/>
  <c r="R127" i="1" s="1"/>
  <c r="T127" i="1" s="1"/>
  <c r="O128" i="1"/>
  <c r="R128" i="1" s="1"/>
  <c r="T128" i="1" s="1"/>
  <c r="O129" i="1"/>
  <c r="R129" i="1" s="1"/>
  <c r="T129" i="1" s="1"/>
  <c r="O130" i="1"/>
  <c r="R130" i="1" s="1"/>
  <c r="T130" i="1" s="1"/>
  <c r="O131" i="1"/>
  <c r="O132" i="1"/>
  <c r="R132" i="1" s="1"/>
  <c r="T132" i="1" s="1"/>
  <c r="O133" i="1"/>
  <c r="O134" i="1"/>
  <c r="O135" i="1"/>
  <c r="R135" i="1" s="1"/>
  <c r="T135" i="1" s="1"/>
  <c r="O136" i="1"/>
  <c r="R136" i="1" s="1"/>
  <c r="T136" i="1" s="1"/>
  <c r="O137" i="1"/>
  <c r="R137" i="1" s="1"/>
  <c r="T137" i="1" s="1"/>
  <c r="O138" i="1"/>
  <c r="O139" i="1"/>
  <c r="R139" i="1" s="1"/>
  <c r="T139" i="1" s="1"/>
  <c r="O140" i="1"/>
  <c r="R140" i="1" s="1"/>
  <c r="T140" i="1" s="1"/>
  <c r="O141" i="1"/>
  <c r="R141" i="1" s="1"/>
  <c r="T141" i="1" s="1"/>
  <c r="O142" i="1"/>
  <c r="R142" i="1" s="1"/>
  <c r="T142" i="1" s="1"/>
  <c r="O143" i="1"/>
  <c r="O144" i="1"/>
  <c r="R144" i="1" s="1"/>
  <c r="T144" i="1" s="1"/>
  <c r="O145" i="1"/>
  <c r="R145" i="1" s="1"/>
  <c r="T145" i="1" s="1"/>
  <c r="O146" i="1"/>
  <c r="O147" i="1"/>
  <c r="R147" i="1" s="1"/>
  <c r="T147" i="1" s="1"/>
  <c r="O148" i="1"/>
  <c r="R148" i="1" s="1"/>
  <c r="T148" i="1" s="1"/>
  <c r="O149" i="1"/>
  <c r="O150" i="1"/>
  <c r="O151" i="1"/>
  <c r="R151" i="1" s="1"/>
  <c r="T151" i="1" s="1"/>
  <c r="O152" i="1"/>
  <c r="R152" i="1" s="1"/>
  <c r="T152" i="1" s="1"/>
  <c r="O153" i="1"/>
  <c r="R153" i="1" s="1"/>
  <c r="T153" i="1" s="1"/>
  <c r="O154" i="1"/>
  <c r="R154" i="1" s="1"/>
  <c r="T154" i="1" s="1"/>
  <c r="O155" i="1"/>
  <c r="R155" i="1" s="1"/>
  <c r="T155" i="1" s="1"/>
  <c r="O156" i="1"/>
  <c r="O157" i="1"/>
  <c r="R157" i="1" s="1"/>
  <c r="T157" i="1" s="1"/>
  <c r="O158" i="1"/>
  <c r="R158" i="1" s="1"/>
  <c r="T158" i="1" s="1"/>
  <c r="O159" i="1"/>
  <c r="R159" i="1" s="1"/>
  <c r="T159" i="1" s="1"/>
  <c r="O160" i="1"/>
  <c r="R160" i="1" s="1"/>
  <c r="T160" i="1" s="1"/>
  <c r="O161" i="1"/>
  <c r="R161" i="1" s="1"/>
  <c r="T161" i="1" s="1"/>
  <c r="O162" i="1"/>
  <c r="O163" i="1"/>
  <c r="R163" i="1" s="1"/>
  <c r="T163" i="1" s="1"/>
  <c r="O164" i="1"/>
  <c r="R164" i="1" s="1"/>
  <c r="T164" i="1" s="1"/>
  <c r="O165" i="1"/>
  <c r="R165" i="1" s="1"/>
  <c r="T165" i="1" s="1"/>
  <c r="O166" i="1"/>
  <c r="R166" i="1" s="1"/>
  <c r="T166" i="1" s="1"/>
  <c r="O167" i="1"/>
  <c r="R167" i="1" s="1"/>
  <c r="T167" i="1" s="1"/>
  <c r="O168" i="1"/>
  <c r="R168" i="1" s="1"/>
  <c r="T168" i="1" s="1"/>
  <c r="O169" i="1"/>
  <c r="R169" i="1" s="1"/>
  <c r="T169" i="1" s="1"/>
  <c r="O170" i="1"/>
  <c r="O171" i="1"/>
  <c r="R171" i="1" s="1"/>
  <c r="T171" i="1" s="1"/>
  <c r="O172" i="1"/>
  <c r="O173" i="1"/>
  <c r="R173" i="1" s="1"/>
  <c r="T173" i="1" s="1"/>
  <c r="O174" i="1"/>
  <c r="R174" i="1" s="1"/>
  <c r="T174" i="1" s="1"/>
  <c r="O175" i="1"/>
  <c r="R175" i="1" s="1"/>
  <c r="T175" i="1" s="1"/>
  <c r="O176" i="1"/>
  <c r="R176" i="1" s="1"/>
  <c r="T176" i="1" s="1"/>
  <c r="O177" i="1"/>
  <c r="O178" i="1"/>
  <c r="R178" i="1" s="1"/>
  <c r="T178" i="1" s="1"/>
  <c r="O179" i="1"/>
  <c r="O180" i="1"/>
  <c r="O181" i="1"/>
  <c r="R181" i="1" s="1"/>
  <c r="T181" i="1" s="1"/>
  <c r="O182" i="1"/>
  <c r="R182" i="1" s="1"/>
  <c r="T182" i="1" s="1"/>
  <c r="O183" i="1"/>
  <c r="R183" i="1" s="1"/>
  <c r="T183" i="1" s="1"/>
  <c r="O184" i="1"/>
  <c r="R184" i="1" s="1"/>
  <c r="T184" i="1" s="1"/>
  <c r="O185" i="1"/>
  <c r="R185" i="1" s="1"/>
  <c r="T185" i="1" s="1"/>
  <c r="O186" i="1"/>
  <c r="R186" i="1" s="1"/>
  <c r="T186" i="1" s="1"/>
  <c r="O187" i="1"/>
  <c r="R187" i="1" s="1"/>
  <c r="T187" i="1" s="1"/>
  <c r="O188" i="1"/>
  <c r="R188" i="1" s="1"/>
  <c r="T188" i="1" s="1"/>
  <c r="O189" i="1"/>
  <c r="R189" i="1" s="1"/>
  <c r="T189" i="1" s="1"/>
  <c r="O190" i="1"/>
  <c r="O191" i="1"/>
  <c r="R191" i="1" s="1"/>
  <c r="T191" i="1" s="1"/>
  <c r="O192" i="1"/>
  <c r="R192" i="1" s="1"/>
  <c r="T192" i="1" s="1"/>
  <c r="O193" i="1"/>
  <c r="R193" i="1" s="1"/>
  <c r="T193" i="1" s="1"/>
  <c r="O194" i="1"/>
  <c r="R194" i="1" s="1"/>
  <c r="T194" i="1" s="1"/>
  <c r="O195" i="1"/>
  <c r="R195" i="1" s="1"/>
  <c r="T195" i="1" s="1"/>
  <c r="O196" i="1"/>
  <c r="R196" i="1" s="1"/>
  <c r="T196" i="1" s="1"/>
  <c r="O197" i="1"/>
  <c r="R197" i="1" s="1"/>
  <c r="T197" i="1" s="1"/>
  <c r="O198" i="1"/>
  <c r="R198" i="1" s="1"/>
  <c r="T198" i="1" s="1"/>
  <c r="O199" i="1"/>
  <c r="R199" i="1" s="1"/>
  <c r="T199" i="1" s="1"/>
  <c r="O200" i="1"/>
  <c r="R200" i="1" s="1"/>
  <c r="T200" i="1" s="1"/>
  <c r="O201" i="1"/>
  <c r="O202" i="1"/>
  <c r="R202" i="1" s="1"/>
  <c r="T202" i="1" s="1"/>
  <c r="O203" i="1"/>
  <c r="R203" i="1" s="1"/>
  <c r="T203" i="1" s="1"/>
  <c r="O204" i="1"/>
  <c r="R204" i="1" s="1"/>
  <c r="T204" i="1" s="1"/>
  <c r="O205" i="1"/>
  <c r="R205" i="1" s="1"/>
  <c r="T205" i="1" s="1"/>
  <c r="O206" i="1"/>
  <c r="O207" i="1"/>
  <c r="R207" i="1" s="1"/>
  <c r="T207" i="1" s="1"/>
  <c r="O208" i="1"/>
  <c r="R208" i="1" s="1"/>
  <c r="T208" i="1" s="1"/>
  <c r="O209" i="1"/>
  <c r="R209" i="1" s="1"/>
  <c r="T209" i="1" s="1"/>
  <c r="O210" i="1"/>
  <c r="O211" i="1"/>
  <c r="R211" i="1" s="1"/>
  <c r="T211" i="1" s="1"/>
  <c r="O212" i="1"/>
  <c r="O213" i="1"/>
  <c r="R213" i="1" s="1"/>
  <c r="T213" i="1" s="1"/>
  <c r="O214" i="1"/>
  <c r="R214" i="1" s="1"/>
  <c r="T214" i="1" s="1"/>
  <c r="O215" i="1"/>
  <c r="R215" i="1" s="1"/>
  <c r="T215" i="1" s="1"/>
  <c r="O216" i="1"/>
  <c r="R216" i="1" s="1"/>
  <c r="T216" i="1" s="1"/>
  <c r="O217" i="1"/>
  <c r="R217" i="1" s="1"/>
  <c r="T217" i="1" s="1"/>
  <c r="O218" i="1"/>
  <c r="R218" i="1" s="1"/>
  <c r="T218" i="1" s="1"/>
  <c r="O219" i="1"/>
  <c r="R219" i="1" s="1"/>
  <c r="T219" i="1" s="1"/>
  <c r="O220" i="1"/>
  <c r="R220" i="1" s="1"/>
  <c r="T220" i="1" s="1"/>
  <c r="O221" i="1"/>
  <c r="R221" i="1" s="1"/>
  <c r="T221" i="1" s="1"/>
  <c r="O222" i="1"/>
  <c r="O223" i="1"/>
  <c r="R223" i="1" s="1"/>
  <c r="T223" i="1" s="1"/>
  <c r="O224" i="1"/>
  <c r="R224" i="1" s="1"/>
  <c r="T224" i="1" s="1"/>
  <c r="O225" i="1"/>
  <c r="R225" i="1" s="1"/>
  <c r="T225" i="1" s="1"/>
  <c r="O226" i="1"/>
  <c r="R226" i="1" s="1"/>
  <c r="T226" i="1" s="1"/>
  <c r="O227" i="1"/>
  <c r="R227" i="1" s="1"/>
  <c r="T227" i="1" s="1"/>
  <c r="O228" i="1"/>
  <c r="R228" i="1" s="1"/>
  <c r="T228" i="1" s="1"/>
  <c r="O229" i="1"/>
  <c r="O230" i="1"/>
  <c r="R230" i="1" s="1"/>
  <c r="T230" i="1" s="1"/>
  <c r="O231" i="1"/>
  <c r="R231" i="1" s="1"/>
  <c r="T231" i="1" s="1"/>
  <c r="O232" i="1"/>
  <c r="O233" i="1"/>
  <c r="R233" i="1" s="1"/>
  <c r="T233" i="1" s="1"/>
  <c r="O234" i="1"/>
  <c r="R234" i="1" s="1"/>
  <c r="T234" i="1" s="1"/>
  <c r="O235" i="1"/>
  <c r="R235" i="1" s="1"/>
  <c r="T235" i="1" s="1"/>
  <c r="O236" i="1"/>
  <c r="O237" i="1"/>
  <c r="R237" i="1" s="1"/>
  <c r="T237" i="1" s="1"/>
  <c r="O238" i="1"/>
  <c r="R238" i="1" s="1"/>
  <c r="T238" i="1" s="1"/>
  <c r="O239" i="1"/>
  <c r="R239" i="1" s="1"/>
  <c r="T239" i="1" s="1"/>
  <c r="O240" i="1"/>
  <c r="R240" i="1" s="1"/>
  <c r="T240" i="1" s="1"/>
  <c r="O241" i="1"/>
  <c r="R241" i="1" s="1"/>
  <c r="T241" i="1" s="1"/>
  <c r="O242" i="1"/>
  <c r="R242" i="1" s="1"/>
  <c r="T242" i="1" s="1"/>
  <c r="O243" i="1"/>
  <c r="R243" i="1" s="1"/>
  <c r="T243" i="1" s="1"/>
  <c r="O244" i="1"/>
  <c r="R244" i="1" s="1"/>
  <c r="T244" i="1" s="1"/>
  <c r="O245" i="1"/>
  <c r="R245" i="1" s="1"/>
  <c r="T245" i="1" s="1"/>
  <c r="O246" i="1"/>
  <c r="O247" i="1"/>
  <c r="R247" i="1" s="1"/>
  <c r="T247" i="1" s="1"/>
  <c r="O248" i="1"/>
  <c r="R248" i="1" s="1"/>
  <c r="T248" i="1" s="1"/>
  <c r="O249" i="1"/>
  <c r="R249" i="1" s="1"/>
  <c r="T249" i="1" s="1"/>
  <c r="O250" i="1"/>
  <c r="O251" i="1"/>
  <c r="R251" i="1" s="1"/>
  <c r="T251" i="1" s="1"/>
  <c r="O252" i="1"/>
  <c r="O253" i="1"/>
  <c r="R253" i="1" s="1"/>
  <c r="T253" i="1" s="1"/>
  <c r="O254" i="1"/>
  <c r="R254" i="1" s="1"/>
  <c r="T254" i="1" s="1"/>
  <c r="O255" i="1"/>
  <c r="R255" i="1" s="1"/>
  <c r="T255" i="1" s="1"/>
  <c r="O256" i="1"/>
  <c r="R256" i="1" s="1"/>
  <c r="T256" i="1" s="1"/>
  <c r="O257" i="1"/>
  <c r="R257" i="1" s="1"/>
  <c r="T257" i="1" s="1"/>
  <c r="O258" i="1"/>
  <c r="O259" i="1"/>
  <c r="O260" i="1"/>
  <c r="R260" i="1" s="1"/>
  <c r="T260" i="1" s="1"/>
  <c r="O261" i="1"/>
  <c r="R261" i="1" s="1"/>
  <c r="T261" i="1" s="1"/>
  <c r="O262" i="1"/>
  <c r="R262" i="1" s="1"/>
  <c r="T262" i="1" s="1"/>
  <c r="O263" i="1"/>
  <c r="R263" i="1" s="1"/>
  <c r="T263" i="1" s="1"/>
  <c r="O264" i="1"/>
  <c r="O265" i="1"/>
  <c r="R265" i="1" s="1"/>
  <c r="T265" i="1" s="1"/>
  <c r="O266" i="1"/>
  <c r="R266" i="1" s="1"/>
  <c r="T266" i="1" s="1"/>
  <c r="O267" i="1"/>
  <c r="R267" i="1" s="1"/>
  <c r="T267" i="1" s="1"/>
  <c r="O268" i="1"/>
  <c r="R268" i="1" s="1"/>
  <c r="T268" i="1" s="1"/>
  <c r="O269" i="1"/>
  <c r="R269" i="1" s="1"/>
  <c r="T269" i="1" s="1"/>
  <c r="O270" i="1"/>
  <c r="R270" i="1" s="1"/>
  <c r="T270" i="1" s="1"/>
  <c r="O271" i="1"/>
  <c r="R271" i="1" s="1"/>
  <c r="T271" i="1" s="1"/>
  <c r="O272" i="1"/>
  <c r="R272" i="1" s="1"/>
  <c r="T272" i="1" s="1"/>
  <c r="O273" i="1"/>
  <c r="R273" i="1" s="1"/>
  <c r="T273" i="1" s="1"/>
  <c r="O274" i="1"/>
  <c r="R274" i="1" s="1"/>
  <c r="T274" i="1" s="1"/>
  <c r="O275" i="1"/>
  <c r="O276" i="1"/>
  <c r="O277" i="1"/>
  <c r="R277" i="1" s="1"/>
  <c r="T277" i="1" s="1"/>
  <c r="O278" i="1"/>
  <c r="O279" i="1"/>
  <c r="O280" i="1"/>
  <c r="R280" i="1" s="1"/>
  <c r="T280" i="1" s="1"/>
  <c r="O281" i="1"/>
  <c r="O282" i="1"/>
  <c r="R282" i="1" s="1"/>
  <c r="T282" i="1" s="1"/>
  <c r="O283" i="1"/>
  <c r="R283" i="1" s="1"/>
  <c r="T283" i="1" s="1"/>
  <c r="O284" i="1"/>
  <c r="R284" i="1" s="1"/>
  <c r="T284" i="1" s="1"/>
  <c r="O285" i="1"/>
  <c r="R285" i="1" s="1"/>
  <c r="T285" i="1" s="1"/>
  <c r="O286" i="1"/>
  <c r="R286" i="1" s="1"/>
  <c r="T286" i="1" s="1"/>
  <c r="O287" i="1"/>
  <c r="O288" i="1"/>
  <c r="O289" i="1"/>
  <c r="R289" i="1" s="1"/>
  <c r="T289" i="1" s="1"/>
  <c r="O290" i="1"/>
  <c r="R290" i="1" s="1"/>
  <c r="T290" i="1" s="1"/>
  <c r="O291" i="1"/>
  <c r="R291" i="1" s="1"/>
  <c r="T291" i="1" s="1"/>
  <c r="O292" i="1"/>
  <c r="R292" i="1" s="1"/>
  <c r="T292" i="1" s="1"/>
  <c r="O293" i="1"/>
  <c r="R293" i="1" s="1"/>
  <c r="T293" i="1" s="1"/>
  <c r="O294" i="1"/>
  <c r="R294" i="1" s="1"/>
  <c r="T294" i="1" s="1"/>
  <c r="O295" i="1"/>
  <c r="O296" i="1"/>
  <c r="R296" i="1" s="1"/>
  <c r="T296" i="1" s="1"/>
  <c r="O297" i="1"/>
  <c r="R297" i="1" s="1"/>
  <c r="T297" i="1" s="1"/>
  <c r="O298" i="1"/>
  <c r="R298" i="1" s="1"/>
  <c r="T298" i="1" s="1"/>
  <c r="O299" i="1"/>
  <c r="O300" i="1"/>
  <c r="O301" i="1"/>
  <c r="R301" i="1" s="1"/>
  <c r="T301" i="1" s="1"/>
  <c r="O302" i="1"/>
  <c r="R302" i="1" s="1"/>
  <c r="T302" i="1" s="1"/>
  <c r="O303" i="1"/>
  <c r="R303" i="1" s="1"/>
  <c r="T303" i="1" s="1"/>
  <c r="O304" i="1"/>
  <c r="R304" i="1" s="1"/>
  <c r="T304" i="1" s="1"/>
  <c r="O305" i="1"/>
  <c r="R305" i="1" s="1"/>
  <c r="T305" i="1" s="1"/>
  <c r="O306" i="1"/>
  <c r="O307" i="1"/>
  <c r="O308" i="1"/>
  <c r="R308" i="1" s="1"/>
  <c r="T308" i="1" s="1"/>
  <c r="O309" i="1"/>
  <c r="R309" i="1" s="1"/>
  <c r="T309" i="1" s="1"/>
  <c r="O310" i="1"/>
  <c r="R310" i="1" s="1"/>
  <c r="T310" i="1" s="1"/>
  <c r="O311" i="1"/>
  <c r="R311" i="1" s="1"/>
  <c r="T311" i="1" s="1"/>
  <c r="O312" i="1"/>
  <c r="O313" i="1"/>
  <c r="O314" i="1"/>
  <c r="R314" i="1" s="1"/>
  <c r="T314" i="1" s="1"/>
  <c r="O315" i="1"/>
  <c r="O316" i="1"/>
  <c r="O317" i="1"/>
  <c r="O318" i="1"/>
  <c r="R318" i="1" s="1"/>
  <c r="T318" i="1" s="1"/>
  <c r="O319" i="1"/>
  <c r="O320" i="1"/>
  <c r="R320" i="1" s="1"/>
  <c r="T320" i="1" s="1"/>
  <c r="O321" i="1"/>
  <c r="R321" i="1" s="1"/>
  <c r="T321" i="1" s="1"/>
  <c r="O322" i="1"/>
  <c r="R322" i="1" s="1"/>
  <c r="T322" i="1" s="1"/>
  <c r="O323" i="1"/>
  <c r="O324" i="1"/>
  <c r="R324" i="1" s="1"/>
  <c r="T324" i="1" s="1"/>
  <c r="O325" i="1"/>
  <c r="R325" i="1" s="1"/>
  <c r="T325" i="1" s="1"/>
  <c r="O326" i="1"/>
  <c r="R326" i="1" s="1"/>
  <c r="T326" i="1" s="1"/>
  <c r="O327" i="1"/>
  <c r="R327" i="1" s="1"/>
  <c r="T327" i="1" s="1"/>
  <c r="O328" i="1"/>
  <c r="R328" i="1" s="1"/>
  <c r="T328" i="1" s="1"/>
  <c r="O329" i="1"/>
  <c r="R329" i="1" s="1"/>
  <c r="T329" i="1" s="1"/>
  <c r="O330" i="1"/>
  <c r="R330" i="1" s="1"/>
  <c r="T330" i="1" s="1"/>
  <c r="O331" i="1"/>
  <c r="R331" i="1" s="1"/>
  <c r="T331" i="1" s="1"/>
  <c r="O332" i="1"/>
  <c r="R332" i="1" s="1"/>
  <c r="T332" i="1" s="1"/>
  <c r="O333" i="1"/>
  <c r="R333" i="1" s="1"/>
  <c r="T333" i="1" s="1"/>
  <c r="O334" i="1"/>
  <c r="O335" i="1"/>
  <c r="O336" i="1"/>
  <c r="O337" i="1"/>
  <c r="O338" i="1"/>
  <c r="R338" i="1" s="1"/>
  <c r="T338" i="1" s="1"/>
  <c r="O339" i="1"/>
  <c r="O340" i="1"/>
  <c r="R340" i="1" s="1"/>
  <c r="T340" i="1" s="1"/>
  <c r="O341" i="1"/>
  <c r="R341" i="1" s="1"/>
  <c r="T341" i="1" s="1"/>
  <c r="O342" i="1"/>
  <c r="R342" i="1" s="1"/>
  <c r="T342" i="1" s="1"/>
  <c r="O343" i="1"/>
  <c r="R343" i="1" s="1"/>
  <c r="T343" i="1" s="1"/>
  <c r="O344" i="1"/>
  <c r="R344" i="1" s="1"/>
  <c r="T344" i="1" s="1"/>
  <c r="O345" i="1"/>
  <c r="R345" i="1" s="1"/>
  <c r="T345" i="1" s="1"/>
  <c r="O346" i="1"/>
  <c r="O347" i="1"/>
  <c r="R347" i="1" s="1"/>
  <c r="T347" i="1" s="1"/>
  <c r="O348" i="1"/>
  <c r="R348" i="1" s="1"/>
  <c r="T348" i="1" s="1"/>
  <c r="O349" i="1"/>
  <c r="O350" i="1"/>
  <c r="O351" i="1"/>
  <c r="R351" i="1" s="1"/>
  <c r="T351" i="1" s="1"/>
  <c r="O352" i="1"/>
  <c r="R352" i="1" s="1"/>
  <c r="T352" i="1" s="1"/>
  <c r="O353" i="1"/>
  <c r="R353" i="1" s="1"/>
  <c r="T353" i="1" s="1"/>
  <c r="O354" i="1"/>
  <c r="R354" i="1" s="1"/>
  <c r="T354" i="1" s="1"/>
  <c r="O355" i="1"/>
  <c r="R355" i="1" s="1"/>
  <c r="T355" i="1" s="1"/>
  <c r="O356" i="1"/>
  <c r="R356" i="1" s="1"/>
  <c r="T356" i="1" s="1"/>
  <c r="O357" i="1"/>
  <c r="R357" i="1" s="1"/>
  <c r="T357" i="1" s="1"/>
  <c r="O358" i="1"/>
  <c r="R358" i="1" s="1"/>
  <c r="T358" i="1" s="1"/>
  <c r="O359" i="1"/>
  <c r="O360" i="1"/>
  <c r="R360" i="1" s="1"/>
  <c r="T360" i="1" s="1"/>
  <c r="O361" i="1"/>
  <c r="R361" i="1" s="1"/>
  <c r="T361" i="1" s="1"/>
  <c r="O362" i="1"/>
  <c r="R362" i="1" s="1"/>
  <c r="T362" i="1" s="1"/>
  <c r="O363" i="1"/>
  <c r="R363" i="1" s="1"/>
  <c r="T363" i="1" s="1"/>
  <c r="O364" i="1"/>
  <c r="R364" i="1" s="1"/>
  <c r="T364" i="1" s="1"/>
  <c r="O365" i="1"/>
  <c r="R365" i="1" s="1"/>
  <c r="T365" i="1" s="1"/>
  <c r="O366" i="1"/>
  <c r="R366" i="1" s="1"/>
  <c r="T366" i="1" s="1"/>
  <c r="O367" i="1"/>
  <c r="R367" i="1" s="1"/>
  <c r="T367" i="1" s="1"/>
  <c r="O368" i="1"/>
  <c r="R368" i="1" s="1"/>
  <c r="T368" i="1" s="1"/>
  <c r="O369" i="1"/>
  <c r="R369" i="1" s="1"/>
  <c r="T369" i="1" s="1"/>
  <c r="O370" i="1"/>
  <c r="R370" i="1" s="1"/>
  <c r="T370" i="1" s="1"/>
  <c r="O371" i="1"/>
  <c r="O372" i="1"/>
  <c r="R372" i="1" s="1"/>
  <c r="T372" i="1" s="1"/>
  <c r="O373" i="1"/>
  <c r="O374" i="1"/>
  <c r="R374" i="1" s="1"/>
  <c r="T374" i="1" s="1"/>
  <c r="O375" i="1"/>
  <c r="R375" i="1" s="1"/>
  <c r="T375" i="1" s="1"/>
  <c r="O376" i="1"/>
  <c r="R376" i="1" s="1"/>
  <c r="T376" i="1" s="1"/>
  <c r="O377" i="1"/>
  <c r="R377" i="1" s="1"/>
  <c r="T377" i="1" s="1"/>
  <c r="O378" i="1"/>
  <c r="O379" i="1"/>
  <c r="R379" i="1" s="1"/>
  <c r="T379" i="1" s="1"/>
  <c r="O380" i="1"/>
  <c r="R380" i="1" s="1"/>
  <c r="T380" i="1" s="1"/>
  <c r="O381" i="1"/>
  <c r="R381" i="1" s="1"/>
  <c r="T381" i="1" s="1"/>
  <c r="O382" i="1"/>
  <c r="R382" i="1" s="1"/>
  <c r="T382" i="1" s="1"/>
  <c r="O383" i="1"/>
  <c r="O384" i="1"/>
  <c r="R384" i="1" s="1"/>
  <c r="T384" i="1" s="1"/>
  <c r="O385" i="1"/>
  <c r="O386" i="1"/>
  <c r="R386" i="1" s="1"/>
  <c r="T386" i="1" s="1"/>
  <c r="O387" i="1"/>
  <c r="O388" i="1"/>
  <c r="O389" i="1"/>
  <c r="R389" i="1" s="1"/>
  <c r="T389" i="1" s="1"/>
  <c r="O390" i="1"/>
  <c r="R390" i="1" s="1"/>
  <c r="T390" i="1" s="1"/>
  <c r="O391" i="1"/>
  <c r="R391" i="1" s="1"/>
  <c r="T391" i="1" s="1"/>
  <c r="O392" i="1"/>
  <c r="R392" i="1" s="1"/>
  <c r="T392" i="1" s="1"/>
  <c r="O393" i="1"/>
  <c r="R393" i="1" s="1"/>
  <c r="T393" i="1" s="1"/>
  <c r="O394" i="1"/>
  <c r="R394" i="1" s="1"/>
  <c r="T394" i="1" s="1"/>
  <c r="O395" i="1"/>
  <c r="R395" i="1" s="1"/>
  <c r="T395" i="1" s="1"/>
  <c r="O396" i="1"/>
  <c r="O397" i="1"/>
  <c r="O398" i="1"/>
  <c r="O399" i="1"/>
  <c r="R399" i="1" s="1"/>
  <c r="T399" i="1" s="1"/>
  <c r="O400" i="1"/>
  <c r="R400" i="1" s="1"/>
  <c r="T400" i="1" s="1"/>
  <c r="O401" i="1"/>
  <c r="R401" i="1" s="1"/>
  <c r="T401" i="1" s="1"/>
  <c r="O402" i="1"/>
  <c r="R402" i="1" s="1"/>
  <c r="T402" i="1" s="1"/>
  <c r="O403" i="1"/>
  <c r="R403" i="1" s="1"/>
  <c r="T403" i="1" s="1"/>
  <c r="O404" i="1"/>
  <c r="R404" i="1" s="1"/>
  <c r="T404" i="1" s="1"/>
  <c r="O405" i="1"/>
  <c r="R405" i="1" s="1"/>
  <c r="T405" i="1" s="1"/>
  <c r="O406" i="1"/>
  <c r="R406" i="1" s="1"/>
  <c r="T406" i="1" s="1"/>
  <c r="O407" i="1"/>
  <c r="O408" i="1"/>
  <c r="R408" i="1" s="1"/>
  <c r="T408" i="1" s="1"/>
  <c r="O409" i="1"/>
  <c r="R409" i="1" s="1"/>
  <c r="T409" i="1" s="1"/>
  <c r="O410" i="1"/>
  <c r="R410" i="1" s="1"/>
  <c r="T410" i="1" s="1"/>
  <c r="O411" i="1"/>
  <c r="O412" i="1"/>
  <c r="R412" i="1" s="1"/>
  <c r="T412" i="1" s="1"/>
  <c r="O413" i="1"/>
  <c r="R413" i="1" s="1"/>
  <c r="T413" i="1" s="1"/>
  <c r="O414" i="1"/>
  <c r="R414" i="1" s="1"/>
  <c r="T414" i="1" s="1"/>
  <c r="O415" i="1"/>
  <c r="R415" i="1" s="1"/>
  <c r="T415" i="1" s="1"/>
  <c r="O416" i="1"/>
  <c r="R416" i="1" s="1"/>
  <c r="T416" i="1" s="1"/>
  <c r="O417" i="1"/>
  <c r="O418" i="1"/>
  <c r="R418" i="1" s="1"/>
  <c r="T418" i="1" s="1"/>
  <c r="O419" i="1"/>
  <c r="O420" i="1"/>
  <c r="O421" i="1"/>
  <c r="R421" i="1" s="1"/>
  <c r="T421" i="1" s="1"/>
  <c r="O422" i="1"/>
  <c r="R422" i="1" s="1"/>
  <c r="T422" i="1" s="1"/>
  <c r="O423" i="1"/>
  <c r="O424" i="1"/>
  <c r="R424" i="1" s="1"/>
  <c r="T424" i="1" s="1"/>
  <c r="O425" i="1"/>
  <c r="R425" i="1" s="1"/>
  <c r="T425" i="1" s="1"/>
  <c r="O426" i="1"/>
  <c r="R426" i="1" s="1"/>
  <c r="T426" i="1" s="1"/>
  <c r="O427" i="1"/>
  <c r="R427" i="1" s="1"/>
  <c r="T427" i="1" s="1"/>
  <c r="O428" i="1"/>
  <c r="R428" i="1" s="1"/>
  <c r="T428" i="1" s="1"/>
  <c r="O429" i="1"/>
  <c r="R429" i="1" s="1"/>
  <c r="T429" i="1" s="1"/>
  <c r="O430" i="1"/>
  <c r="O431" i="1"/>
  <c r="O432" i="1"/>
  <c r="R432" i="1" s="1"/>
  <c r="T432" i="1" s="1"/>
  <c r="O433" i="1"/>
  <c r="O434" i="1"/>
  <c r="O435" i="1"/>
  <c r="R435" i="1" s="1"/>
  <c r="T435" i="1" s="1"/>
  <c r="O436" i="1"/>
  <c r="R436" i="1" s="1"/>
  <c r="T436" i="1" s="1"/>
  <c r="O437" i="1"/>
  <c r="R437" i="1" s="1"/>
  <c r="T437" i="1" s="1"/>
  <c r="O438" i="1"/>
  <c r="R438" i="1" s="1"/>
  <c r="T438" i="1" s="1"/>
  <c r="O439" i="1"/>
  <c r="O440" i="1"/>
  <c r="R440" i="1" s="1"/>
  <c r="T440" i="1" s="1"/>
  <c r="O441" i="1"/>
  <c r="O442" i="1"/>
  <c r="R442" i="1" s="1"/>
  <c r="T442" i="1" s="1"/>
  <c r="O443" i="1"/>
  <c r="R443" i="1" s="1"/>
  <c r="T443" i="1" s="1"/>
  <c r="O444" i="1"/>
  <c r="O445" i="1"/>
  <c r="R445" i="1" s="1"/>
  <c r="T445" i="1" s="1"/>
  <c r="O446" i="1"/>
  <c r="R446" i="1" s="1"/>
  <c r="T446" i="1" s="1"/>
  <c r="O447" i="1"/>
  <c r="R447" i="1" s="1"/>
  <c r="T447" i="1" s="1"/>
  <c r="O448" i="1"/>
  <c r="R448" i="1" s="1"/>
  <c r="T448" i="1" s="1"/>
  <c r="O449" i="1"/>
  <c r="R449" i="1" s="1"/>
  <c r="T449" i="1" s="1"/>
  <c r="O450" i="1"/>
  <c r="R450" i="1" s="1"/>
  <c r="T450" i="1" s="1"/>
  <c r="O451" i="1"/>
  <c r="R451" i="1" s="1"/>
  <c r="T451" i="1" s="1"/>
  <c r="O452" i="1"/>
  <c r="R452" i="1" s="1"/>
  <c r="T452" i="1" s="1"/>
  <c r="O453" i="1"/>
  <c r="O454" i="1"/>
  <c r="R454" i="1" s="1"/>
  <c r="T454" i="1" s="1"/>
  <c r="O455" i="1"/>
  <c r="R455" i="1" s="1"/>
  <c r="T455" i="1" s="1"/>
  <c r="O456" i="1"/>
  <c r="O457" i="1"/>
  <c r="R457" i="1" s="1"/>
  <c r="T457" i="1" s="1"/>
  <c r="O458" i="1"/>
  <c r="O459" i="1"/>
  <c r="O460" i="1"/>
  <c r="R460" i="1" s="1"/>
  <c r="T460" i="1" s="1"/>
  <c r="O461" i="1"/>
  <c r="R461" i="1" s="1"/>
  <c r="T461" i="1" s="1"/>
  <c r="O462" i="1"/>
  <c r="R462" i="1" s="1"/>
  <c r="T462" i="1" s="1"/>
  <c r="O463" i="1"/>
  <c r="R463" i="1" s="1"/>
  <c r="T463" i="1" s="1"/>
  <c r="O464" i="1"/>
  <c r="R464" i="1" s="1"/>
  <c r="T464" i="1" s="1"/>
  <c r="O465" i="1"/>
  <c r="R465" i="1" s="1"/>
  <c r="T465" i="1" s="1"/>
  <c r="O466" i="1"/>
  <c r="R466" i="1" s="1"/>
  <c r="T466" i="1" s="1"/>
  <c r="O467" i="1"/>
  <c r="R467" i="1" s="1"/>
  <c r="T467" i="1" s="1"/>
  <c r="O468" i="1"/>
  <c r="O469" i="1"/>
  <c r="R469" i="1" s="1"/>
  <c r="T469" i="1" s="1"/>
  <c r="O470" i="1"/>
  <c r="R470" i="1" s="1"/>
  <c r="T470" i="1" s="1"/>
  <c r="O471" i="1"/>
  <c r="R471" i="1" s="1"/>
  <c r="T471" i="1" s="1"/>
  <c r="O472" i="1"/>
  <c r="R472" i="1" s="1"/>
  <c r="T472" i="1" s="1"/>
  <c r="O473" i="1"/>
  <c r="R473" i="1" s="1"/>
  <c r="T473" i="1" s="1"/>
  <c r="O474" i="1"/>
  <c r="R474" i="1" s="1"/>
  <c r="T474" i="1" s="1"/>
  <c r="O475" i="1"/>
  <c r="R475" i="1" s="1"/>
  <c r="T475" i="1" s="1"/>
  <c r="O476" i="1"/>
  <c r="R476" i="1" s="1"/>
  <c r="T476" i="1" s="1"/>
  <c r="O477" i="1"/>
  <c r="R477" i="1" s="1"/>
  <c r="T477" i="1" s="1"/>
  <c r="O478" i="1"/>
  <c r="R478" i="1" s="1"/>
  <c r="T478" i="1" s="1"/>
  <c r="O479" i="1"/>
  <c r="R479" i="1" s="1"/>
  <c r="T479" i="1" s="1"/>
  <c r="O480" i="1"/>
  <c r="O481" i="1"/>
  <c r="R481" i="1" s="1"/>
  <c r="T481" i="1" s="1"/>
  <c r="O482" i="1"/>
  <c r="R482" i="1" s="1"/>
  <c r="T482" i="1" s="1"/>
  <c r="O483" i="1"/>
  <c r="R483" i="1" s="1"/>
  <c r="T483" i="1" s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Q2" i="1"/>
  <c r="U2" i="1" s="1"/>
  <c r="P2" i="1"/>
  <c r="O2" i="1"/>
  <c r="M2" i="1"/>
  <c r="L2" i="1"/>
  <c r="K2" i="1"/>
  <c r="J2" i="1"/>
  <c r="I2" i="1"/>
  <c r="H2" i="1"/>
  <c r="F2" i="1"/>
  <c r="E2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" i="1"/>
  <c r="R316" i="1" l="1"/>
  <c r="T316" i="1" s="1"/>
  <c r="R281" i="1"/>
  <c r="T281" i="1" s="1"/>
  <c r="R407" i="1"/>
  <c r="T407" i="1" s="1"/>
  <c r="R149" i="1"/>
  <c r="T149" i="1" s="1"/>
  <c r="R275" i="1"/>
  <c r="T275" i="1" s="1"/>
  <c r="R232" i="1"/>
  <c r="T232" i="1" s="1"/>
  <c r="R378" i="1"/>
  <c r="T378" i="1" s="1"/>
  <c r="R306" i="1"/>
  <c r="T306" i="1" s="1"/>
  <c r="R388" i="1"/>
  <c r="T388" i="1" s="1"/>
  <c r="R258" i="1"/>
  <c r="T258" i="1" s="1"/>
  <c r="R336" i="1"/>
  <c r="T336" i="1" s="1"/>
  <c r="R312" i="1"/>
  <c r="T312" i="1" s="1"/>
  <c r="R300" i="1"/>
  <c r="T300" i="1" s="1"/>
  <c r="R350" i="1"/>
  <c r="T350" i="1" s="1"/>
  <c r="R288" i="1"/>
  <c r="T288" i="1" s="1"/>
  <c r="R276" i="1"/>
  <c r="T276" i="1" s="1"/>
  <c r="R264" i="1"/>
  <c r="T264" i="1" s="1"/>
  <c r="R335" i="1"/>
  <c r="T335" i="1" s="1"/>
  <c r="R143" i="1"/>
  <c r="T143" i="1" s="1"/>
  <c r="R131" i="1"/>
  <c r="T131" i="1" s="1"/>
  <c r="R107" i="1"/>
  <c r="T107" i="1" s="1"/>
  <c r="R109" i="1"/>
  <c r="T109" i="1" s="1"/>
  <c r="R458" i="1"/>
  <c r="T458" i="1" s="1"/>
  <c r="R279" i="1"/>
  <c r="T279" i="1" s="1"/>
  <c r="R210" i="1"/>
  <c r="T210" i="1" s="1"/>
  <c r="R359" i="1"/>
  <c r="T359" i="1" s="1"/>
  <c r="R398" i="1"/>
  <c r="T398" i="1" s="1"/>
  <c r="R15" i="1"/>
  <c r="T15" i="1" s="1"/>
  <c r="R480" i="1"/>
  <c r="T480" i="1" s="1"/>
  <c r="R125" i="1"/>
  <c r="T125" i="1" s="1"/>
  <c r="R133" i="1"/>
  <c r="T133" i="1" s="1"/>
  <c r="R339" i="1"/>
  <c r="T339" i="1" s="1"/>
  <c r="R42" i="1"/>
  <c r="T42" i="1" s="1"/>
  <c r="R456" i="1"/>
  <c r="T456" i="1" s="1"/>
  <c r="R468" i="1"/>
  <c r="T468" i="1" s="1"/>
  <c r="R346" i="1"/>
  <c r="T346" i="1" s="1"/>
  <c r="R433" i="1"/>
  <c r="T433" i="1" s="1"/>
  <c r="R444" i="1"/>
  <c r="T444" i="1" s="1"/>
  <c r="R190" i="1"/>
  <c r="T190" i="1" s="1"/>
  <c r="R206" i="1"/>
  <c r="T206" i="1" s="1"/>
  <c r="R179" i="1"/>
  <c r="T179" i="1" s="1"/>
  <c r="R99" i="1"/>
  <c r="T99" i="1" s="1"/>
  <c r="R334" i="1"/>
  <c r="T334" i="1" s="1"/>
  <c r="R250" i="1"/>
  <c r="T250" i="1" s="1"/>
  <c r="R411" i="1"/>
  <c r="T411" i="1" s="1"/>
  <c r="R387" i="1"/>
  <c r="T387" i="1" s="1"/>
  <c r="R423" i="1"/>
  <c r="T423" i="1" s="1"/>
  <c r="R434" i="1"/>
  <c r="T434" i="1" s="1"/>
  <c r="R317" i="1"/>
  <c r="T317" i="1" s="1"/>
  <c r="R41" i="1"/>
  <c r="T41" i="1" s="1"/>
  <c r="R371" i="1"/>
  <c r="T371" i="1" s="1"/>
  <c r="R383" i="1"/>
  <c r="T383" i="1" s="1"/>
  <c r="R57" i="1"/>
  <c r="T57" i="1" s="1"/>
  <c r="R453" i="1"/>
  <c r="T453" i="1" s="1"/>
  <c r="R441" i="1"/>
  <c r="T441" i="1" s="1"/>
  <c r="R417" i="1"/>
  <c r="T417" i="1" s="1"/>
  <c r="R201" i="1"/>
  <c r="T201" i="1" s="1"/>
  <c r="R177" i="1"/>
  <c r="T177" i="1" s="1"/>
  <c r="R117" i="1"/>
  <c r="T117" i="1" s="1"/>
  <c r="R497" i="1"/>
  <c r="T497" i="1" s="1"/>
  <c r="R500" i="1"/>
  <c r="T500" i="1" s="1"/>
  <c r="R488" i="1"/>
  <c r="T488" i="1" s="1"/>
  <c r="R498" i="1"/>
  <c r="T498" i="1" s="1"/>
  <c r="R486" i="1"/>
  <c r="T486" i="1" s="1"/>
  <c r="R496" i="1"/>
  <c r="T496" i="1" s="1"/>
  <c r="R495" i="1"/>
  <c r="T495" i="1" s="1"/>
  <c r="R493" i="1"/>
  <c r="T493" i="1" s="1"/>
  <c r="R492" i="1"/>
  <c r="T492" i="1" s="1"/>
  <c r="R491" i="1"/>
  <c r="T491" i="1" s="1"/>
  <c r="R490" i="1"/>
  <c r="T490" i="1" s="1"/>
  <c r="R494" i="1"/>
  <c r="T494" i="1" s="1"/>
  <c r="R489" i="1"/>
  <c r="T489" i="1" s="1"/>
  <c r="R499" i="1"/>
  <c r="T499" i="1" s="1"/>
  <c r="R487" i="1"/>
  <c r="T487" i="1" s="1"/>
  <c r="R484" i="1"/>
  <c r="T484" i="1" s="1"/>
  <c r="R77" i="1"/>
  <c r="T77" i="1" s="1"/>
  <c r="R53" i="1"/>
  <c r="T53" i="1" s="1"/>
  <c r="R313" i="1"/>
  <c r="T313" i="1" s="1"/>
  <c r="R120" i="1"/>
  <c r="T120" i="1" s="1"/>
  <c r="R485" i="1"/>
  <c r="T485" i="1" s="1"/>
  <c r="R172" i="1"/>
  <c r="T172" i="1" s="1"/>
  <c r="R16" i="1"/>
  <c r="T16" i="1" s="1"/>
  <c r="R180" i="1"/>
  <c r="T180" i="1" s="1"/>
  <c r="R156" i="1"/>
  <c r="T156" i="1" s="1"/>
  <c r="R138" i="1"/>
  <c r="T138" i="1" s="1"/>
  <c r="R88" i="1"/>
  <c r="T88" i="1" s="1"/>
  <c r="R134" i="1"/>
  <c r="T134" i="1" s="1"/>
  <c r="R323" i="1"/>
  <c r="T323" i="1" s="1"/>
  <c r="R299" i="1"/>
  <c r="T299" i="1" s="1"/>
  <c r="R287" i="1"/>
  <c r="T287" i="1" s="1"/>
  <c r="R459" i="1"/>
  <c r="T459" i="1" s="1"/>
  <c r="R146" i="1"/>
  <c r="T146" i="1" s="1"/>
  <c r="R252" i="1"/>
  <c r="T252" i="1" s="1"/>
  <c r="R92" i="1"/>
  <c r="T92" i="1" s="1"/>
  <c r="R89" i="1"/>
  <c r="T89" i="1" s="1"/>
  <c r="R64" i="1"/>
  <c r="T64" i="1" s="1"/>
  <c r="R212" i="1"/>
  <c r="T212" i="1" s="1"/>
  <c r="R236" i="1"/>
  <c r="T236" i="1" s="1"/>
  <c r="R315" i="1"/>
  <c r="T315" i="1" s="1"/>
  <c r="R501" i="1"/>
  <c r="T501" i="1" s="1"/>
  <c r="R439" i="1"/>
  <c r="T439" i="1" s="1"/>
  <c r="C56" i="1"/>
  <c r="S56" i="1" s="1"/>
  <c r="C44" i="1"/>
  <c r="S44" i="1" s="1"/>
  <c r="C20" i="1"/>
  <c r="S20" i="1" s="1"/>
  <c r="C481" i="1"/>
  <c r="S481" i="1" s="1"/>
  <c r="C457" i="1"/>
  <c r="S457" i="1" s="1"/>
  <c r="C433" i="1"/>
  <c r="S433" i="1" s="1"/>
  <c r="C409" i="1"/>
  <c r="S409" i="1" s="1"/>
  <c r="C373" i="1"/>
  <c r="S373" i="1" s="1"/>
  <c r="C349" i="1"/>
  <c r="S349" i="1" s="1"/>
  <c r="C325" i="1"/>
  <c r="S325" i="1" s="1"/>
  <c r="C301" i="1"/>
  <c r="S301" i="1" s="1"/>
  <c r="C277" i="1"/>
  <c r="S277" i="1" s="1"/>
  <c r="C253" i="1"/>
  <c r="S253" i="1" s="1"/>
  <c r="C229" i="1"/>
  <c r="S229" i="1" s="1"/>
  <c r="C205" i="1"/>
  <c r="S205" i="1" s="1"/>
  <c r="C181" i="1"/>
  <c r="S181" i="1" s="1"/>
  <c r="C157" i="1"/>
  <c r="S157" i="1" s="1"/>
  <c r="C133" i="1"/>
  <c r="S133" i="1" s="1"/>
  <c r="C109" i="1"/>
  <c r="S109" i="1" s="1"/>
  <c r="C85" i="1"/>
  <c r="S85" i="1" s="1"/>
  <c r="C61" i="1"/>
  <c r="S61" i="1" s="1"/>
  <c r="C49" i="1"/>
  <c r="S49" i="1" s="1"/>
  <c r="C25" i="1"/>
  <c r="S25" i="1" s="1"/>
  <c r="C490" i="1"/>
  <c r="S490" i="1" s="1"/>
  <c r="C454" i="1"/>
  <c r="S454" i="1" s="1"/>
  <c r="C406" i="1"/>
  <c r="S406" i="1" s="1"/>
  <c r="C346" i="1"/>
  <c r="S346" i="1" s="1"/>
  <c r="C310" i="1"/>
  <c r="S310" i="1" s="1"/>
  <c r="C274" i="1"/>
  <c r="S274" i="1" s="1"/>
  <c r="C226" i="1"/>
  <c r="S226" i="1" s="1"/>
  <c r="C202" i="1"/>
  <c r="S202" i="1" s="1"/>
  <c r="C166" i="1"/>
  <c r="S166" i="1" s="1"/>
  <c r="C130" i="1"/>
  <c r="S130" i="1" s="1"/>
  <c r="C106" i="1"/>
  <c r="S106" i="1" s="1"/>
  <c r="C70" i="1"/>
  <c r="S70" i="1" s="1"/>
  <c r="C10" i="1"/>
  <c r="S10" i="1" s="1"/>
  <c r="C32" i="1"/>
  <c r="S32" i="1" s="1"/>
  <c r="C8" i="1"/>
  <c r="S8" i="1" s="1"/>
  <c r="C466" i="1"/>
  <c r="S466" i="1" s="1"/>
  <c r="C418" i="1"/>
  <c r="S418" i="1" s="1"/>
  <c r="C382" i="1"/>
  <c r="S382" i="1" s="1"/>
  <c r="C334" i="1"/>
  <c r="S334" i="1" s="1"/>
  <c r="C298" i="1"/>
  <c r="S298" i="1" s="1"/>
  <c r="C238" i="1"/>
  <c r="S238" i="1" s="1"/>
  <c r="C190" i="1"/>
  <c r="S190" i="1" s="1"/>
  <c r="C142" i="1"/>
  <c r="S142" i="1" s="1"/>
  <c r="C94" i="1"/>
  <c r="S94" i="1" s="1"/>
  <c r="C34" i="1"/>
  <c r="S34" i="1" s="1"/>
  <c r="C496" i="1"/>
  <c r="S496" i="1" s="1"/>
  <c r="C484" i="1"/>
  <c r="S484" i="1" s="1"/>
  <c r="C472" i="1"/>
  <c r="S472" i="1" s="1"/>
  <c r="C460" i="1"/>
  <c r="S460" i="1" s="1"/>
  <c r="C448" i="1"/>
  <c r="S448" i="1" s="1"/>
  <c r="C436" i="1"/>
  <c r="S436" i="1" s="1"/>
  <c r="C424" i="1"/>
  <c r="S424" i="1" s="1"/>
  <c r="C412" i="1"/>
  <c r="S412" i="1" s="1"/>
  <c r="C400" i="1"/>
  <c r="S400" i="1" s="1"/>
  <c r="C388" i="1"/>
  <c r="S388" i="1" s="1"/>
  <c r="C376" i="1"/>
  <c r="S376" i="1" s="1"/>
  <c r="C364" i="1"/>
  <c r="S364" i="1" s="1"/>
  <c r="C352" i="1"/>
  <c r="S352" i="1" s="1"/>
  <c r="C340" i="1"/>
  <c r="S340" i="1" s="1"/>
  <c r="C328" i="1"/>
  <c r="S328" i="1" s="1"/>
  <c r="C316" i="1"/>
  <c r="S316" i="1" s="1"/>
  <c r="C304" i="1"/>
  <c r="S304" i="1" s="1"/>
  <c r="C292" i="1"/>
  <c r="S292" i="1" s="1"/>
  <c r="C280" i="1"/>
  <c r="S280" i="1" s="1"/>
  <c r="C268" i="1"/>
  <c r="S268" i="1" s="1"/>
  <c r="C256" i="1"/>
  <c r="S256" i="1" s="1"/>
  <c r="C244" i="1"/>
  <c r="S244" i="1" s="1"/>
  <c r="C232" i="1"/>
  <c r="S232" i="1" s="1"/>
  <c r="C220" i="1"/>
  <c r="S220" i="1" s="1"/>
  <c r="C208" i="1"/>
  <c r="S208" i="1" s="1"/>
  <c r="C196" i="1"/>
  <c r="S196" i="1" s="1"/>
  <c r="C184" i="1"/>
  <c r="S184" i="1" s="1"/>
  <c r="C172" i="1"/>
  <c r="S172" i="1" s="1"/>
  <c r="C160" i="1"/>
  <c r="S160" i="1" s="1"/>
  <c r="C148" i="1"/>
  <c r="S148" i="1" s="1"/>
  <c r="C136" i="1"/>
  <c r="S136" i="1" s="1"/>
  <c r="C124" i="1"/>
  <c r="S124" i="1" s="1"/>
  <c r="C112" i="1"/>
  <c r="S112" i="1" s="1"/>
  <c r="C100" i="1"/>
  <c r="S100" i="1" s="1"/>
  <c r="C88" i="1"/>
  <c r="S88" i="1" s="1"/>
  <c r="C76" i="1"/>
  <c r="S76" i="1" s="1"/>
  <c r="C64" i="1"/>
  <c r="S64" i="1" s="1"/>
  <c r="C52" i="1"/>
  <c r="S52" i="1" s="1"/>
  <c r="C40" i="1"/>
  <c r="S40" i="1" s="1"/>
  <c r="C28" i="1"/>
  <c r="S28" i="1" s="1"/>
  <c r="C16" i="1"/>
  <c r="S16" i="1" s="1"/>
  <c r="C6" i="1"/>
  <c r="S6" i="1" s="1"/>
  <c r="C442" i="1"/>
  <c r="S442" i="1" s="1"/>
  <c r="C370" i="1"/>
  <c r="S370" i="1" s="1"/>
  <c r="C262" i="1"/>
  <c r="S262" i="1" s="1"/>
  <c r="C58" i="1"/>
  <c r="S58" i="1" s="1"/>
  <c r="C493" i="1"/>
  <c r="S493" i="1" s="1"/>
  <c r="C469" i="1"/>
  <c r="S469" i="1" s="1"/>
  <c r="C445" i="1"/>
  <c r="S445" i="1" s="1"/>
  <c r="C421" i="1"/>
  <c r="S421" i="1" s="1"/>
  <c r="C397" i="1"/>
  <c r="S397" i="1" s="1"/>
  <c r="C385" i="1"/>
  <c r="S385" i="1" s="1"/>
  <c r="C361" i="1"/>
  <c r="S361" i="1" s="1"/>
  <c r="C337" i="1"/>
  <c r="S337" i="1" s="1"/>
  <c r="C313" i="1"/>
  <c r="S313" i="1" s="1"/>
  <c r="C289" i="1"/>
  <c r="S289" i="1" s="1"/>
  <c r="C265" i="1"/>
  <c r="S265" i="1" s="1"/>
  <c r="C241" i="1"/>
  <c r="S241" i="1" s="1"/>
  <c r="C217" i="1"/>
  <c r="S217" i="1" s="1"/>
  <c r="C193" i="1"/>
  <c r="S193" i="1" s="1"/>
  <c r="C169" i="1"/>
  <c r="S169" i="1" s="1"/>
  <c r="C145" i="1"/>
  <c r="S145" i="1" s="1"/>
  <c r="C121" i="1"/>
  <c r="S121" i="1" s="1"/>
  <c r="C97" i="1"/>
  <c r="S97" i="1" s="1"/>
  <c r="C73" i="1"/>
  <c r="S73" i="1" s="1"/>
  <c r="C37" i="1"/>
  <c r="S37" i="1" s="1"/>
  <c r="C13" i="1"/>
  <c r="S13" i="1" s="1"/>
  <c r="C478" i="1"/>
  <c r="S478" i="1" s="1"/>
  <c r="C430" i="1"/>
  <c r="S430" i="1" s="1"/>
  <c r="C394" i="1"/>
  <c r="S394" i="1" s="1"/>
  <c r="C358" i="1"/>
  <c r="S358" i="1" s="1"/>
  <c r="C322" i="1"/>
  <c r="S322" i="1" s="1"/>
  <c r="C286" i="1"/>
  <c r="S286" i="1" s="1"/>
  <c r="C250" i="1"/>
  <c r="S250" i="1" s="1"/>
  <c r="C214" i="1"/>
  <c r="S214" i="1" s="1"/>
  <c r="C178" i="1"/>
  <c r="S178" i="1" s="1"/>
  <c r="C154" i="1"/>
  <c r="S154" i="1" s="1"/>
  <c r="C118" i="1"/>
  <c r="S118" i="1" s="1"/>
  <c r="C82" i="1"/>
  <c r="S82" i="1" s="1"/>
  <c r="C46" i="1"/>
  <c r="S46" i="1" s="1"/>
  <c r="C22" i="1"/>
  <c r="S22" i="1" s="1"/>
  <c r="C74" i="1"/>
  <c r="S74" i="1" s="1"/>
  <c r="C62" i="1"/>
  <c r="S62" i="1" s="1"/>
  <c r="C50" i="1"/>
  <c r="S50" i="1" s="1"/>
  <c r="C38" i="1"/>
  <c r="S38" i="1" s="1"/>
  <c r="C26" i="1"/>
  <c r="S26" i="1" s="1"/>
  <c r="C14" i="1"/>
  <c r="S14" i="1" s="1"/>
  <c r="R349" i="1"/>
  <c r="T349" i="1" s="1"/>
  <c r="R337" i="1"/>
  <c r="T337" i="1" s="1"/>
  <c r="R229" i="1"/>
  <c r="T229" i="1" s="1"/>
  <c r="R259" i="1"/>
  <c r="T259" i="1" s="1"/>
  <c r="R122" i="1"/>
  <c r="T122" i="1" s="1"/>
  <c r="R29" i="1"/>
  <c r="T29" i="1" s="1"/>
  <c r="R17" i="1"/>
  <c r="T17" i="1" s="1"/>
  <c r="R222" i="1"/>
  <c r="T222" i="1" s="1"/>
  <c r="R56" i="1"/>
  <c r="T56" i="1" s="1"/>
  <c r="R84" i="1"/>
  <c r="T84" i="1" s="1"/>
  <c r="R278" i="1"/>
  <c r="T278" i="1" s="1"/>
  <c r="R373" i="1"/>
  <c r="T373" i="1" s="1"/>
  <c r="R397" i="1"/>
  <c r="T397" i="1" s="1"/>
  <c r="R385" i="1"/>
  <c r="T385" i="1" s="1"/>
  <c r="R420" i="1"/>
  <c r="T420" i="1" s="1"/>
  <c r="R396" i="1"/>
  <c r="T396" i="1" s="1"/>
  <c r="R246" i="1"/>
  <c r="T246" i="1" s="1"/>
  <c r="R102" i="1"/>
  <c r="T102" i="1" s="1"/>
  <c r="R431" i="1"/>
  <c r="T431" i="1" s="1"/>
  <c r="R419" i="1"/>
  <c r="T419" i="1" s="1"/>
  <c r="R3" i="1"/>
  <c r="T3" i="1" s="1"/>
  <c r="R98" i="1"/>
  <c r="T98" i="1" s="1"/>
  <c r="R97" i="1"/>
  <c r="T97" i="1" s="1"/>
  <c r="R162" i="1"/>
  <c r="T162" i="1" s="1"/>
  <c r="R150" i="1"/>
  <c r="T150" i="1" s="1"/>
  <c r="R7" i="1"/>
  <c r="T7" i="1" s="1"/>
  <c r="R430" i="1"/>
  <c r="T430" i="1" s="1"/>
  <c r="R85" i="1"/>
  <c r="T85" i="1" s="1"/>
  <c r="R20" i="1"/>
  <c r="T20" i="1" s="1"/>
  <c r="R8" i="1"/>
  <c r="T8" i="1" s="1"/>
  <c r="R12" i="1"/>
  <c r="T12" i="1" s="1"/>
  <c r="R170" i="1"/>
  <c r="T170" i="1" s="1"/>
  <c r="R13" i="1"/>
  <c r="T13" i="1" s="1"/>
  <c r="R9" i="1"/>
  <c r="T9" i="1" s="1"/>
  <c r="R14" i="1"/>
  <c r="T14" i="1" s="1"/>
  <c r="R5" i="1"/>
  <c r="T5" i="1" s="1"/>
  <c r="R18" i="1"/>
  <c r="T18" i="1" s="1"/>
  <c r="R45" i="1"/>
  <c r="T45" i="1" s="1"/>
  <c r="R23" i="1"/>
  <c r="T23" i="1" s="1"/>
  <c r="R38" i="1"/>
  <c r="T38" i="1" s="1"/>
  <c r="R6" i="1"/>
  <c r="T6" i="1" s="1"/>
  <c r="R19" i="1"/>
  <c r="T19" i="1" s="1"/>
  <c r="R43" i="1"/>
  <c r="T43" i="1" s="1"/>
  <c r="R86" i="1"/>
  <c r="T86" i="1" s="1"/>
  <c r="R32" i="1"/>
  <c r="T32" i="1" s="1"/>
  <c r="R31" i="1"/>
  <c r="T31" i="1" s="1"/>
  <c r="R73" i="1"/>
  <c r="T73" i="1" s="1"/>
  <c r="R47" i="1"/>
  <c r="T47" i="1" s="1"/>
  <c r="R82" i="1"/>
  <c r="T82" i="1" s="1"/>
  <c r="R58" i="1"/>
  <c r="T58" i="1" s="1"/>
  <c r="R34" i="1"/>
  <c r="T34" i="1" s="1"/>
  <c r="R62" i="1"/>
  <c r="T62" i="1" s="1"/>
  <c r="R72" i="1"/>
  <c r="T72" i="1" s="1"/>
  <c r="R59" i="1"/>
  <c r="T59" i="1" s="1"/>
  <c r="R319" i="1"/>
  <c r="T319" i="1" s="1"/>
  <c r="R295" i="1"/>
  <c r="T295" i="1" s="1"/>
  <c r="R74" i="1"/>
  <c r="T74" i="1" s="1"/>
  <c r="R71" i="1"/>
  <c r="T71" i="1" s="1"/>
  <c r="R307" i="1"/>
  <c r="T307" i="1" s="1"/>
  <c r="R61" i="1"/>
  <c r="T61" i="1" s="1"/>
  <c r="R46" i="1"/>
  <c r="T46" i="1" s="1"/>
  <c r="R44" i="1"/>
  <c r="T44" i="1" s="1"/>
  <c r="R24" i="1"/>
  <c r="T24" i="1" s="1"/>
  <c r="R37" i="1"/>
  <c r="T37" i="1" s="1"/>
  <c r="R48" i="1"/>
  <c r="T48" i="1" s="1"/>
  <c r="R36" i="1"/>
  <c r="T36" i="1" s="1"/>
  <c r="R50" i="1"/>
  <c r="T50" i="1" s="1"/>
  <c r="R60" i="1"/>
  <c r="T60" i="1" s="1"/>
  <c r="R49" i="1"/>
  <c r="T49" i="1" s="1"/>
  <c r="R35" i="1"/>
  <c r="T35" i="1" s="1"/>
  <c r="R21" i="1"/>
  <c r="T21" i="1" s="1"/>
  <c r="R30" i="1"/>
  <c r="T30" i="1" s="1"/>
  <c r="R10" i="1"/>
  <c r="T10" i="1" s="1"/>
  <c r="R27" i="1"/>
  <c r="T27" i="1" s="1"/>
  <c r="R25" i="1"/>
  <c r="T25" i="1" s="1"/>
  <c r="R26" i="1"/>
  <c r="T26" i="1" s="1"/>
  <c r="R96" i="1"/>
  <c r="T96" i="1" s="1"/>
  <c r="R22" i="1"/>
  <c r="T22" i="1" s="1"/>
  <c r="R11" i="1"/>
  <c r="T11" i="1" s="1"/>
  <c r="R33" i="1"/>
  <c r="T33" i="1" s="1"/>
  <c r="R4" i="1"/>
  <c r="T4" i="1" s="1"/>
  <c r="R2" i="1"/>
  <c r="T2" i="1" s="1"/>
</calcChain>
</file>

<file path=xl/sharedStrings.xml><?xml version="1.0" encoding="utf-8"?>
<sst xmlns="http://schemas.openxmlformats.org/spreadsheetml/2006/main" count="108" uniqueCount="53">
  <si>
    <t>Order_Date</t>
  </si>
  <si>
    <t>Ship_Mode</t>
  </si>
  <si>
    <t>Customer_ID</t>
  </si>
  <si>
    <t>Customer_Name</t>
  </si>
  <si>
    <t>Country</t>
  </si>
  <si>
    <t>Region</t>
  </si>
  <si>
    <t>State</t>
  </si>
  <si>
    <t>City</t>
  </si>
  <si>
    <t>Category</t>
  </si>
  <si>
    <t>Sub_Category</t>
  </si>
  <si>
    <t>Product_Name</t>
  </si>
  <si>
    <t>Sales</t>
  </si>
  <si>
    <t>Quantity</t>
  </si>
  <si>
    <t>Discount</t>
  </si>
  <si>
    <t>Profit</t>
  </si>
  <si>
    <t xml:space="preserve">Segment  </t>
  </si>
  <si>
    <t>Ship_Date</t>
  </si>
  <si>
    <t>Order_Processing_Days</t>
  </si>
  <si>
    <t>Profit_Margin</t>
  </si>
  <si>
    <t>Discount_Flag</t>
  </si>
  <si>
    <t>Order_Id</t>
  </si>
  <si>
    <t>Row Labels</t>
  </si>
  <si>
    <t>Grand Total</t>
  </si>
  <si>
    <t>Sum of Sales</t>
  </si>
  <si>
    <t>Furniture</t>
  </si>
  <si>
    <t>Office Supplies</t>
  </si>
  <si>
    <t>Technology</t>
  </si>
  <si>
    <t>Sum of Profit</t>
  </si>
  <si>
    <t>East</t>
  </si>
  <si>
    <t>North</t>
  </si>
  <si>
    <t>South</t>
  </si>
  <si>
    <t>West</t>
  </si>
  <si>
    <t>Samsung Galaxy</t>
  </si>
  <si>
    <t>A4 Paper</t>
  </si>
  <si>
    <t>Office Chair</t>
  </si>
  <si>
    <t>HP Pavilion</t>
  </si>
  <si>
    <t>Wireless Mouse</t>
  </si>
  <si>
    <t>Office Table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</si>
  <si>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</si>
  <si>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</si>
  <si>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</si>
  <si>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</si>
  <si>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</si>
  <si>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</si>
  <si>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</si>
  <si>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</si>
  <si>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</si>
  <si>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</si>
  <si>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</si>
  <si>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</si>
  <si>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Sum of Quantity</t>
  </si>
  <si>
    <t>Analysis Data</t>
  </si>
  <si>
    <t>Sales Trend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</si>
</sst>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;@"/>
  </numFmts>
  <fonts count="6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EF4C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49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0" xfId="0" applyFont="1"/>
    <xf numFmtId="0" fontId="0" fillId="0" borderId="5" xfId="0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164" fontId="0" fillId="0" borderId="0" xfId="0" applyNumberFormat="1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10" fontId="1" fillId="3" borderId="2" xfId="1" applyNumberFormat="1" applyFont="1" applyFill="1" applyBorder="1" applyAlignment="1">
      <alignment horizontal="center" vertical="center"/>
    </xf>
    <xf numFmtId="10" fontId="0" fillId="0" borderId="2" xfId="1" applyNumberFormat="1" applyFont="1" applyBorder="1" applyAlignment="1">
      <alignment horizontal="center" vertical="center"/>
    </xf>
    <xf numFmtId="10" fontId="0" fillId="0" borderId="1" xfId="1" applyNumberFormat="1" applyFont="1" applyBorder="1" applyAlignment="1">
      <alignment horizontal="center" vertical="center"/>
    </xf>
    <xf numFmtId="10" fontId="0" fillId="0" borderId="5" xfId="1" applyNumberFormat="1" applyFont="1" applyBorder="1" applyAlignment="1">
      <alignment horizontal="center" vertical="center"/>
    </xf>
    <xf numFmtId="10" fontId="0" fillId="0" borderId="0" xfId="1" applyNumberFormat="1" applyFont="1"/>
    <xf numFmtId="10" fontId="1" fillId="2" borderId="2" xfId="1" applyNumberFormat="1" applyFont="1" applyFill="1" applyBorder="1" applyAlignment="1">
      <alignment horizontal="center" vertical="center"/>
    </xf>
    <xf numFmtId="10" fontId="0" fillId="0" borderId="0" xfId="1" applyNumberFormat="1" applyFont="1" applyBorder="1" applyAlignment="1">
      <alignment horizontal="center" vertical="center"/>
    </xf>
    <xf numFmtId="0" fontId="0" fillId="0" borderId="1" xfId="0" applyBorder="1"/>
    <xf numFmtId="2" fontId="0" fillId="0" borderId="1" xfId="0" applyNumberFormat="1" applyBorder="1"/>
    <xf numFmtId="0" fontId="0" fillId="0" borderId="0" xfId="0" applyAlignment="1">
      <alignment horizontal="center"/>
    </xf>
    <xf numFmtId="0" fontId="0" fillId="0" borderId="1" xfId="0" pivotButton="1" applyBorder="1"/>
    <xf numFmtId="0" fontId="0" fillId="0" borderId="1" xfId="0" applyBorder="1" applyAlignment="1">
      <alignment horizontal="left" indent="2"/>
    </xf>
    <xf numFmtId="0" fontId="0" fillId="5" borderId="1" xfId="0" applyFill="1" applyBorder="1"/>
    <xf numFmtId="2" fontId="0" fillId="5" borderId="1" xfId="0" applyNumberFormat="1" applyFill="1" applyBorder="1"/>
    <xf numFmtId="0" fontId="0" fillId="6" borderId="1" xfId="0" applyFill="1" applyBorder="1" applyAlignment="1">
      <alignment horizontal="left"/>
    </xf>
    <xf numFmtId="2" fontId="0" fillId="6" borderId="1" xfId="0" applyNumberFormat="1" applyFill="1" applyBorder="1"/>
    <xf numFmtId="0" fontId="0" fillId="6" borderId="1" xfId="0" applyFill="1" applyBorder="1"/>
    <xf numFmtId="0" fontId="0" fillId="7" borderId="1" xfId="0" applyFill="1" applyBorder="1" applyAlignment="1">
      <alignment horizontal="left"/>
    </xf>
    <xf numFmtId="0" fontId="0" fillId="0" borderId="2" xfId="0" pivotButton="1" applyBorder="1"/>
    <xf numFmtId="0" fontId="0" fillId="0" borderId="2" xfId="0" applyBorder="1"/>
    <xf numFmtId="0" fontId="0" fillId="4" borderId="1" xfId="0" applyFill="1" applyBorder="1" applyAlignment="1">
      <alignment horizontal="left"/>
    </xf>
    <xf numFmtId="0" fontId="5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10" borderId="1" xfId="0" applyFill="1" applyBorder="1" applyAlignment="1">
      <alignment horizontal="left" indent="1"/>
    </xf>
    <xf numFmtId="2" fontId="0" fillId="10" borderId="1" xfId="0" applyNumberFormat="1" applyFill="1" applyBorder="1"/>
    <xf numFmtId="0" fontId="0" fillId="10" borderId="1" xfId="0" applyFill="1" applyBorder="1"/>
    <xf numFmtId="0" fontId="0" fillId="11" borderId="1" xfId="0" applyFill="1" applyBorder="1" applyAlignment="1">
      <alignment horizontal="left"/>
    </xf>
    <xf numFmtId="2" fontId="0" fillId="11" borderId="1" xfId="0" applyNumberFormat="1" applyFill="1" applyBorder="1"/>
    <xf numFmtId="0" fontId="0" fillId="11" borderId="1" xfId="0" applyFill="1" applyBorder="1"/>
    <xf numFmtId="0" fontId="0" fillId="7" borderId="1" xfId="0" applyNumberFormat="1" applyFill="1" applyBorder="1"/>
    <xf numFmtId="0" fontId="0" fillId="8" borderId="1" xfId="0" applyNumberFormat="1" applyFill="1" applyBorder="1"/>
    <xf numFmtId="0" fontId="0" fillId="9" borderId="1" xfId="0" applyNumberFormat="1" applyFill="1" applyBorder="1"/>
  </cellXfs>
  <cellStyles count="2">
    <cellStyle name="Normal" xfId="0" builtinId="0"/>
    <cellStyle name="Percent" xfId="1" builtinId="5"/>
  </cellStyles>
  <dxfs count="751">
    <dxf>
      <fill>
        <patternFill patternType="solid">
          <bgColor theme="5" tint="-0.249977111117893"/>
        </patternFill>
      </fill>
    </dxf>
    <dxf>
      <fill>
        <patternFill>
          <bgColor theme="8" tint="0.79998168889431442"/>
        </patternFill>
      </fill>
    </dxf>
    <dxf>
      <fill>
        <patternFill patternType="solid">
          <bgColor theme="5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 patternType="solid">
          <bgColor theme="5" tint="-0.249977111117893"/>
        </patternFill>
      </fill>
    </dxf>
    <dxf>
      <fill>
        <patternFill>
          <bgColor theme="8" tint="0.79998168889431442"/>
        </patternFill>
      </fill>
    </dxf>
    <dxf>
      <fill>
        <patternFill patternType="solid">
          <bgColor theme="5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 patternType="solid">
          <bgColor theme="5" tint="-0.249977111117893"/>
        </patternFill>
      </fill>
    </dxf>
    <dxf>
      <fill>
        <patternFill>
          <bgColor theme="8" tint="0.79998168889431442"/>
        </patternFill>
      </fill>
    </dxf>
    <dxf>
      <fill>
        <patternFill patternType="solid">
          <bgColor theme="5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 patternType="solid">
          <bgColor theme="5" tint="-0.249977111117893"/>
        </patternFill>
      </fill>
    </dxf>
    <dxf>
      <fill>
        <patternFill>
          <bgColor theme="8" tint="0.79998168889431442"/>
        </patternFill>
      </fill>
    </dxf>
    <dxf>
      <fill>
        <patternFill patternType="solid">
          <bgColor theme="5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 patternType="solid">
          <bgColor theme="5" tint="-0.249977111117893"/>
        </patternFill>
      </fill>
    </dxf>
    <dxf>
      <fill>
        <patternFill>
          <bgColor theme="8" tint="0.79998168889431442"/>
        </patternFill>
      </fill>
    </dxf>
    <dxf>
      <fill>
        <patternFill patternType="solid">
          <bgColor theme="5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 patternType="solid">
          <bgColor theme="5" tint="-0.249977111117893"/>
        </patternFill>
      </fill>
    </dxf>
    <dxf>
      <fill>
        <patternFill>
          <bgColor theme="8" tint="0.79998168889431442"/>
        </patternFill>
      </fill>
    </dxf>
    <dxf>
      <fill>
        <patternFill patternType="solid">
          <bgColor theme="5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 patternType="solid">
          <bgColor theme="5" tint="-0.249977111117893"/>
        </patternFill>
      </fill>
    </dxf>
    <dxf>
      <fill>
        <patternFill>
          <bgColor theme="8" tint="0.79998168889431442"/>
        </patternFill>
      </fill>
    </dxf>
    <dxf>
      <fill>
        <patternFill patternType="solid">
          <bgColor theme="5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 patternType="solid">
          <bgColor theme="5" tint="-0.249977111117893"/>
        </patternFill>
      </fill>
    </dxf>
    <dxf>
      <fill>
        <patternFill>
          <bgColor theme="8" tint="0.79998168889431442"/>
        </patternFill>
      </fill>
    </dxf>
    <dxf>
      <fill>
        <patternFill patternType="solid">
          <bgColor theme="5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 patternType="solid">
          <bgColor theme="5" tint="-0.249977111117893"/>
        </patternFill>
      </fill>
    </dxf>
    <dxf>
      <fill>
        <patternFill>
          <bgColor theme="8" tint="0.79998168889431442"/>
        </patternFill>
      </fill>
    </dxf>
    <dxf>
      <fill>
        <patternFill patternType="solid">
          <bgColor theme="5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 patternType="solid">
          <bgColor theme="5" tint="-0.249977111117893"/>
        </patternFill>
      </fill>
    </dxf>
    <dxf>
      <fill>
        <patternFill>
          <bgColor theme="8" tint="0.79998168889431442"/>
        </patternFill>
      </fill>
    </dxf>
    <dxf>
      <fill>
        <patternFill patternType="solid">
          <bgColor theme="5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 patternType="solid">
          <bgColor theme="5" tint="-0.249977111117893"/>
        </patternFill>
      </fill>
    </dxf>
    <dxf>
      <fill>
        <patternFill>
          <bgColor theme="8" tint="0.79998168889431442"/>
        </patternFill>
      </fill>
    </dxf>
    <dxf>
      <fill>
        <patternFill patternType="solid">
          <bgColor theme="5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 patternType="solid">
          <bgColor theme="5" tint="-0.249977111117893"/>
        </patternFill>
      </fill>
    </dxf>
    <dxf>
      <fill>
        <patternFill>
          <bgColor theme="8" tint="0.79998168889431442"/>
        </patternFill>
      </fill>
    </dxf>
    <dxf>
      <fill>
        <patternFill patternType="solid">
          <bgColor theme="5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 patternType="solid">
          <bgColor theme="5" tint="-0.249977111117893"/>
        </patternFill>
      </fill>
    </dxf>
    <dxf>
      <fill>
        <patternFill>
          <bgColor theme="8" tint="0.79998168889431442"/>
        </patternFill>
      </fill>
    </dxf>
    <dxf>
      <fill>
        <patternFill patternType="solid">
          <bgColor theme="5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 patternType="solid">
          <bgColor theme="5" tint="-0.249977111117893"/>
        </patternFill>
      </fill>
    </dxf>
    <dxf>
      <fill>
        <patternFill>
          <bgColor theme="8" tint="0.79998168889431442"/>
        </patternFill>
      </fill>
    </dxf>
    <dxf>
      <fill>
        <patternFill patternType="solid">
          <bgColor theme="5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 patternType="solid">
          <bgColor theme="5" tint="-0.249977111117893"/>
        </patternFill>
      </fill>
    </dxf>
    <dxf>
      <fill>
        <patternFill>
          <bgColor theme="8" tint="0.79998168889431442"/>
        </patternFill>
      </fill>
    </dxf>
    <dxf>
      <fill>
        <patternFill patternType="solid">
          <bgColor theme="5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 patternType="solid">
          <bgColor theme="5" tint="-0.249977111117893"/>
        </patternFill>
      </fill>
    </dxf>
    <dxf>
      <fill>
        <patternFill>
          <bgColor theme="8" tint="0.79998168889431442"/>
        </patternFill>
      </fill>
    </dxf>
    <dxf>
      <fill>
        <patternFill patternType="solid">
          <bgColor theme="5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 patternType="solid">
          <bgColor theme="5" tint="-0.249977111117893"/>
        </patternFill>
      </fill>
    </dxf>
    <dxf>
      <fill>
        <patternFill>
          <bgColor theme="8" tint="0.79998168889431442"/>
        </patternFill>
      </fill>
    </dxf>
    <dxf>
      <fill>
        <patternFill patternType="solid">
          <bgColor theme="5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 patternType="solid">
          <bgColor theme="5" tint="-0.249977111117893"/>
        </patternFill>
      </fill>
    </dxf>
    <dxf>
      <fill>
        <patternFill>
          <bgColor theme="8" tint="0.79998168889431442"/>
        </patternFill>
      </fill>
    </dxf>
    <dxf>
      <fill>
        <patternFill patternType="solid">
          <bgColor theme="5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 patternType="solid">
          <bgColor theme="5" tint="-0.249977111117893"/>
        </patternFill>
      </fill>
    </dxf>
    <dxf>
      <fill>
        <patternFill>
          <bgColor theme="8" tint="0.79998168889431442"/>
        </patternFill>
      </fill>
    </dxf>
    <dxf>
      <fill>
        <patternFill patternType="solid">
          <bgColor theme="5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 patternType="solid">
          <bgColor theme="5" tint="-0.249977111117893"/>
        </patternFill>
      </fill>
    </dxf>
    <dxf>
      <fill>
        <patternFill>
          <bgColor theme="8" tint="0.79998168889431442"/>
        </patternFill>
      </fill>
    </dxf>
    <dxf>
      <fill>
        <patternFill patternType="solid">
          <bgColor theme="5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rgb="FF00B050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[$-14009]dd/mm/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bgColor theme="5" tint="-0.249977111117893"/>
        </patternFill>
      </fill>
    </dxf>
    <dxf>
      <fill>
        <patternFill patternType="solid">
          <bgColor theme="5" tint="-0.249977111117893"/>
        </patternFill>
      </fill>
    </dxf>
    <dxf>
      <fill>
        <patternFill>
          <bgColor rgb="FFFFFF00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7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bgColor auto="1"/>
        </patternFill>
      </fill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numFmt numFmtId="2" formatCode="0.00"/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fill>
        <patternFill>
          <bgColor rgb="FFFEF4C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5"/>
        </patternFill>
      </fill>
    </dxf>
    <dxf>
      <fill>
        <patternFill>
          <bgColor theme="8" tint="0.79998168889431442"/>
        </patternFill>
      </fill>
    </dxf>
    <dxf>
      <fill>
        <patternFill patternType="solid">
          <bgColor theme="5" tint="-0.249977111117893"/>
        </patternFill>
      </fill>
    </dxf>
  </dxfs>
  <tableStyles count="0" defaultTableStyle="TableStyleMedium2" defaultPivotStyle="PivotStyleLight16"/>
  <colors>
    <mruColors>
      <color rgb="FFFEF4C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[Book1.xlsx]Sales_trend!PivotTable5</c:name>
    <c:fmtId val="2"/>
  </c:pivotSource>
  <c:chart>
    <c:autoTitleDeleted val="0"/>
    <c:pivotFmts>
      <c:pivotFmt>
        <c:idx val="0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Sales_trend!$B$4</c:f>
              <c:strCache>
                <c:ptCount val="1"/>
                <c:pt idx="0">
                  <c:v>Sum of Sales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hade val="76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hade val="76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shade val="7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Sales_trend!$A$5:$A$17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Sales_trend!$B$5:$B$17</c:f>
              <c:numCache>
                <c:formatCode>General</c:formatCode>
                <c:ptCount val="12"/>
                <c:pt idx="0">
                  <c:v>968083</c:v>
                </c:pt>
                <c:pt idx="1">
                  <c:v>1302787</c:v>
                </c:pt>
                <c:pt idx="2">
                  <c:v>659315</c:v>
                </c:pt>
                <c:pt idx="3">
                  <c:v>1268763</c:v>
                </c:pt>
                <c:pt idx="4">
                  <c:v>1110194</c:v>
                </c:pt>
                <c:pt idx="5">
                  <c:v>1714736</c:v>
                </c:pt>
                <c:pt idx="6">
                  <c:v>1094067</c:v>
                </c:pt>
                <c:pt idx="7">
                  <c:v>1473413</c:v>
                </c:pt>
                <c:pt idx="8">
                  <c:v>1500468</c:v>
                </c:pt>
                <c:pt idx="9">
                  <c:v>1222698</c:v>
                </c:pt>
                <c:pt idx="10">
                  <c:v>1266221</c:v>
                </c:pt>
                <c:pt idx="11">
                  <c:v>1077025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9F-4A5E-B4CE-037B831B44D5}"/>
            </c:ext>
          </c:extLst>
        </c:ser>
        <c:ser>
          <c:idx val="1"/>
          <c:order val="1"/>
          <c:tx>
            <c:strRef>
              <c:f>Sales_trend!$C$4</c:f>
              <c:strCache>
                <c:ptCount val="1"/>
                <c:pt idx="0">
                  <c:v>Sum of Quantity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tint val="77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tint val="77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tint val="77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Sales_trend!$A$5:$A$17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Sales_trend!$C$5:$C$17</c:f>
              <c:numCache>
                <c:formatCode>General</c:formatCode>
                <c:ptCount val="12"/>
                <c:pt idx="0">
                  <c:v>231</c:v>
                </c:pt>
                <c:pt idx="1">
                  <c:v>235</c:v>
                </c:pt>
                <c:pt idx="2">
                  <c:v>135</c:v>
                </c:pt>
                <c:pt idx="3">
                  <c:v>267</c:v>
                </c:pt>
                <c:pt idx="4">
                  <c:v>212</c:v>
                </c:pt>
                <c:pt idx="5">
                  <c:v>292</c:v>
                </c:pt>
                <c:pt idx="6">
                  <c:v>257</c:v>
                </c:pt>
                <c:pt idx="7">
                  <c:v>238</c:v>
                </c:pt>
                <c:pt idx="8">
                  <c:v>276</c:v>
                </c:pt>
                <c:pt idx="9">
                  <c:v>257</c:v>
                </c:pt>
                <c:pt idx="10">
                  <c:v>267</c:v>
                </c:pt>
                <c:pt idx="11">
                  <c:v>258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69F-4A5E-B4CE-037B831B44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459879423"/>
        <c:axId val="1459881343"/>
      </c:barChart>
      <c:catAx>
        <c:axId val="1459879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9881343"/>
        <c:crosses val="autoZero"/>
        <c:auto val="1"/>
        <c:lblAlgn val="ctr"/>
        <c:lblOffset val="100"/>
        <c:noMultiLvlLbl val="0"/>
      </c:catAx>
      <c:valAx>
        <c:axId val="1459881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9879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175260</xdr:colOff>
      <xdr:row>1</xdr:row>
      <xdr:rowOff>22860</xdr:rowOff>
    </xdr:from>
    <xdr:to>
      <xdr:col>9</xdr:col>
      <xdr:colOff>198120</xdr:colOff>
      <xdr:row>16</xdr:row>
      <xdr:rowOff>160020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1070600-8DFF-CB3D-CD8B-80E8D67D6B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er" refreshedDate="46059.763165393517" createdVersion="8" refreshedVersion="8" minRefreshableVersion="3" recordCount="500" xr:uid="{0C688B23-5DCB-410E-BB2B-271BF4100D51}">
  <cacheSource type="worksheet">
    <worksheetSource name="Table3"/>
  </cacheSource>
  <cacheFields count="23">
    <cacheField name="Order_Id" numFmtId="0">
      <sharedItems/>
    </cacheField>
    <cacheField name="Order_Date" numFmtId="164">
      <sharedItems containsSemiMixedTypes="0" containsNonDate="0" containsDate="1" containsString="0" minDate="2024-01-02T00:00:00" maxDate="2025-01-01T00:00:00" count="269">
        <d v="2024-02-15T00:00:00"/>
        <d v="2024-05-27T00:00:00"/>
        <d v="2024-09-12T00:00:00"/>
        <d v="2024-08-06T00:00:00"/>
        <d v="2024-03-19T00:00:00"/>
        <d v="2024-05-20T00:00:00"/>
        <d v="2024-12-11T00:00:00"/>
        <d v="2024-10-18T00:00:00"/>
        <d v="2024-06-25T00:00:00"/>
        <d v="2024-01-07T00:00:00"/>
        <d v="2024-03-30T00:00:00"/>
        <d v="2024-06-29T00:00:00"/>
        <d v="2024-07-30T00:00:00"/>
        <d v="2024-01-05T00:00:00"/>
        <d v="2024-08-23T00:00:00"/>
        <d v="2024-02-17T00:00:00"/>
        <d v="2024-11-23T00:00:00"/>
        <d v="2024-08-24T00:00:00"/>
        <d v="2024-02-21T00:00:00"/>
        <d v="2024-11-14T00:00:00"/>
        <d v="2024-09-10T00:00:00"/>
        <d v="2024-08-19T00:00:00"/>
        <d v="2024-04-28T00:00:00"/>
        <d v="2024-08-21T00:00:00"/>
        <d v="2024-06-18T00:00:00"/>
        <d v="2024-12-08T00:00:00"/>
        <d v="2024-09-15T00:00:00"/>
        <d v="2024-02-06T00:00:00"/>
        <d v="2024-04-03T00:00:00"/>
        <d v="2024-06-10T00:00:00"/>
        <d v="2024-09-08T00:00:00"/>
        <d v="2024-05-30T00:00:00"/>
        <d v="2024-04-09T00:00:00"/>
        <d v="2024-04-18T00:00:00"/>
        <d v="2024-07-03T00:00:00"/>
        <d v="2024-10-09T00:00:00"/>
        <d v="2024-08-11T00:00:00"/>
        <d v="2024-07-20T00:00:00"/>
        <d v="2024-10-19T00:00:00"/>
        <d v="2024-10-14T00:00:00"/>
        <d v="2024-05-02T00:00:00"/>
        <d v="2024-11-11T00:00:00"/>
        <d v="2024-11-07T00:00:00"/>
        <d v="2024-12-25T00:00:00"/>
        <d v="2024-04-17T00:00:00"/>
        <d v="2024-05-16T00:00:00"/>
        <d v="2024-10-12T00:00:00"/>
        <d v="2024-06-27T00:00:00"/>
        <d v="2024-07-22T00:00:00"/>
        <d v="2024-08-16T00:00:00"/>
        <d v="2024-05-14T00:00:00"/>
        <d v="2024-12-31T00:00:00"/>
        <d v="2024-09-29T00:00:00"/>
        <d v="2024-11-08T00:00:00"/>
        <d v="2024-06-04T00:00:00"/>
        <d v="2024-09-21T00:00:00"/>
        <d v="2024-05-24T00:00:00"/>
        <d v="2024-03-22T00:00:00"/>
        <d v="2024-07-07T00:00:00"/>
        <d v="2024-07-26T00:00:00"/>
        <d v="2024-10-16T00:00:00"/>
        <d v="2024-04-26T00:00:00"/>
        <d v="2024-11-09T00:00:00"/>
        <d v="2024-07-13T00:00:00"/>
        <d v="2024-04-11T00:00:00"/>
        <d v="2024-01-21T00:00:00"/>
        <d v="2024-11-26T00:00:00"/>
        <d v="2024-11-03T00:00:00"/>
        <d v="2024-06-01T00:00:00"/>
        <d v="2024-11-01T00:00:00"/>
        <d v="2024-07-21T00:00:00"/>
        <d v="2024-02-09T00:00:00"/>
        <d v="2024-11-20T00:00:00"/>
        <d v="2024-12-30T00:00:00"/>
        <d v="2024-12-21T00:00:00"/>
        <d v="2024-03-06T00:00:00"/>
        <d v="2024-06-26T00:00:00"/>
        <d v="2024-10-05T00:00:00"/>
        <d v="2024-03-11T00:00:00"/>
        <d v="2024-04-01T00:00:00"/>
        <d v="2024-03-18T00:00:00"/>
        <d v="2024-02-04T00:00:00"/>
        <d v="2024-07-24T00:00:00"/>
        <d v="2024-06-17T00:00:00"/>
        <d v="2024-08-31T00:00:00"/>
        <d v="2024-04-20T00:00:00"/>
        <d v="2024-05-07T00:00:00"/>
        <d v="2024-08-10T00:00:00"/>
        <d v="2024-05-22T00:00:00"/>
        <d v="2024-10-31T00:00:00"/>
        <d v="2024-10-25T00:00:00"/>
        <d v="2024-04-29T00:00:00"/>
        <d v="2024-11-27T00:00:00"/>
        <d v="2024-01-22T00:00:00"/>
        <d v="2024-01-08T00:00:00"/>
        <d v="2024-04-06T00:00:00"/>
        <d v="2024-08-30T00:00:00"/>
        <d v="2024-06-12T00:00:00"/>
        <d v="2024-04-19T00:00:00"/>
        <d v="2024-07-25T00:00:00"/>
        <d v="2024-10-23T00:00:00"/>
        <d v="2024-09-05T00:00:00"/>
        <d v="2024-12-16T00:00:00"/>
        <d v="2024-06-07T00:00:00"/>
        <d v="2024-08-26T00:00:00"/>
        <d v="2024-05-29T00:00:00"/>
        <d v="2024-07-28T00:00:00"/>
        <d v="2024-12-19T00:00:00"/>
        <d v="2024-09-09T00:00:00"/>
        <d v="2024-10-21T00:00:00"/>
        <d v="2024-09-28T00:00:00"/>
        <d v="2024-07-01T00:00:00"/>
        <d v="2024-01-02T00:00:00"/>
        <d v="2024-11-10T00:00:00"/>
        <d v="2024-10-01T00:00:00"/>
        <d v="2024-02-23T00:00:00"/>
        <d v="2024-02-18T00:00:00"/>
        <d v="2024-11-13T00:00:00"/>
        <d v="2024-10-03T00:00:00"/>
        <d v="2024-12-09T00:00:00"/>
        <d v="2024-05-09T00:00:00"/>
        <d v="2024-01-11T00:00:00"/>
        <d v="2024-01-23T00:00:00"/>
        <d v="2024-01-03T00:00:00"/>
        <d v="2024-05-26T00:00:00"/>
        <d v="2024-09-17T00:00:00"/>
        <d v="2024-02-20T00:00:00"/>
        <d v="2024-11-24T00:00:00"/>
        <d v="2024-01-26T00:00:00"/>
        <d v="2024-08-28T00:00:00"/>
        <d v="2024-02-29T00:00:00"/>
        <d v="2024-11-21T00:00:00"/>
        <d v="2024-10-08T00:00:00"/>
        <d v="2024-04-21T00:00:00"/>
        <d v="2024-12-20T00:00:00"/>
        <d v="2024-07-05T00:00:00"/>
        <d v="2024-06-11T00:00:00"/>
        <d v="2024-07-06T00:00:00"/>
        <d v="2024-09-27T00:00:00"/>
        <d v="2024-10-07T00:00:00"/>
        <d v="2024-01-29T00:00:00"/>
        <d v="2024-05-03T00:00:00"/>
        <d v="2024-08-25T00:00:00"/>
        <d v="2024-08-03T00:00:00"/>
        <d v="2024-11-15T00:00:00"/>
        <d v="2024-01-25T00:00:00"/>
        <d v="2024-01-24T00:00:00"/>
        <d v="2024-04-16T00:00:00"/>
        <d v="2024-09-20T00:00:00"/>
        <d v="2024-12-28T00:00:00"/>
        <d v="2024-04-14T00:00:00"/>
        <d v="2024-05-13T00:00:00"/>
        <d v="2024-09-11T00:00:00"/>
        <d v="2024-09-06T00:00:00"/>
        <d v="2024-12-26T00:00:00"/>
        <d v="2024-12-01T00:00:00"/>
        <d v="2024-01-12T00:00:00"/>
        <d v="2024-12-15T00:00:00"/>
        <d v="2024-06-03T00:00:00"/>
        <d v="2024-02-27T00:00:00"/>
        <d v="2024-03-25T00:00:00"/>
        <d v="2024-03-03T00:00:00"/>
        <d v="2024-10-20T00:00:00"/>
        <d v="2024-06-30T00:00:00"/>
        <d v="2024-03-23T00:00:00"/>
        <d v="2024-09-16T00:00:00"/>
        <d v="2024-03-04T00:00:00"/>
        <d v="2024-11-05T00:00:00"/>
        <d v="2024-04-10T00:00:00"/>
        <d v="2024-04-22T00:00:00"/>
        <d v="2024-08-20T00:00:00"/>
        <d v="2024-08-13T00:00:00"/>
        <d v="2024-11-19T00:00:00"/>
        <d v="2024-02-24T00:00:00"/>
        <d v="2024-12-18T00:00:00"/>
        <d v="2024-07-29T00:00:00"/>
        <d v="2024-08-22T00:00:00"/>
        <d v="2024-12-05T00:00:00"/>
        <d v="2024-06-28T00:00:00"/>
        <d v="2024-02-14T00:00:00"/>
        <d v="2024-07-23T00:00:00"/>
        <d v="2024-11-16T00:00:00"/>
        <d v="2024-10-26T00:00:00"/>
        <d v="2024-01-30T00:00:00"/>
        <d v="2024-02-12T00:00:00"/>
        <d v="2024-05-10T00:00:00"/>
        <d v="2024-03-12T00:00:00"/>
        <d v="2024-02-28T00:00:00"/>
        <d v="2024-08-07T00:00:00"/>
        <d v="2024-07-14T00:00:00"/>
        <d v="2024-08-15T00:00:00"/>
        <d v="2024-10-27T00:00:00"/>
        <d v="2024-05-11T00:00:00"/>
        <d v="2024-07-19T00:00:00"/>
        <d v="2024-10-02T00:00:00"/>
        <d v="2024-11-12T00:00:00"/>
        <d v="2024-12-12T00:00:00"/>
        <d v="2024-09-22T00:00:00"/>
        <d v="2024-09-18T00:00:00"/>
        <d v="2024-07-02T00:00:00"/>
        <d v="2024-04-08T00:00:00"/>
        <d v="2024-06-20T00:00:00"/>
        <d v="2024-06-16T00:00:00"/>
        <d v="2024-12-03T00:00:00"/>
        <d v="2024-09-30T00:00:00"/>
        <d v="2024-06-14T00:00:00"/>
        <d v="2024-01-15T00:00:00"/>
        <d v="2024-05-04T00:00:00"/>
        <d v="2024-03-27T00:00:00"/>
        <d v="2024-01-18T00:00:00"/>
        <d v="2024-01-27T00:00:00"/>
        <d v="2024-02-16T00:00:00"/>
        <d v="2024-04-23T00:00:00"/>
        <d v="2024-09-02T00:00:00"/>
        <d v="2024-12-02T00:00:00"/>
        <d v="2024-02-22T00:00:00"/>
        <d v="2024-01-17T00:00:00"/>
        <d v="2024-04-24T00:00:00"/>
        <d v="2024-03-17T00:00:00"/>
        <d v="2024-11-28T00:00:00"/>
        <d v="2024-07-27T00:00:00"/>
        <d v="2024-09-25T00:00:00"/>
        <d v="2024-06-21T00:00:00"/>
        <d v="2024-10-28T00:00:00"/>
        <d v="2024-12-22T00:00:00"/>
        <d v="2024-12-13T00:00:00"/>
        <d v="2024-03-05T00:00:00"/>
        <d v="2024-03-08T00:00:00"/>
        <d v="2024-09-26T00:00:00"/>
        <d v="2024-12-10T00:00:00"/>
        <d v="2024-01-14T00:00:00"/>
        <d v="2024-02-25T00:00:00"/>
        <d v="2024-11-18T00:00:00"/>
        <d v="2024-06-23T00:00:00"/>
        <d v="2024-02-10T00:00:00"/>
        <d v="2024-09-19T00:00:00"/>
        <d v="2024-07-11T00:00:00"/>
        <d v="2024-01-20T00:00:00"/>
        <d v="2024-07-12T00:00:00"/>
        <d v="2024-06-06T00:00:00"/>
        <d v="2024-05-28T00:00:00"/>
        <d v="2024-04-04T00:00:00"/>
        <d v="2024-07-16T00:00:00"/>
        <d v="2024-06-19T00:00:00"/>
        <d v="2024-03-16T00:00:00"/>
        <d v="2024-04-05T00:00:00"/>
        <d v="2024-07-17T00:00:00"/>
        <d v="2024-10-30T00:00:00"/>
        <d v="2024-05-23T00:00:00"/>
        <d v="2024-02-11T00:00:00"/>
        <d v="2024-12-17T00:00:00"/>
        <d v="2024-10-22T00:00:00"/>
        <d v="2024-10-11T00:00:00"/>
        <d v="2024-07-31T00:00:00"/>
        <d v="2024-08-05T00:00:00"/>
        <d v="2024-07-08T00:00:00"/>
        <d v="2024-04-02T00:00:00"/>
        <d v="2024-09-03T00:00:00"/>
        <d v="2024-05-05T00:00:00"/>
        <d v="2024-08-14T00:00:00"/>
        <d v="2024-04-07T00:00:00"/>
        <d v="2024-06-02T00:00:00"/>
        <d v="2024-05-17T00:00:00"/>
        <d v="2024-10-17T00:00:00"/>
        <d v="2024-06-22T00:00:00"/>
        <d v="2024-11-29T00:00:00"/>
        <d v="2024-01-16T00:00:00"/>
        <d v="2024-06-08T00:00:00"/>
        <d v="2024-08-09T00:00:00"/>
      </sharedItems>
      <fieldGroup par="22"/>
    </cacheField>
    <cacheField name="Ship_Date" numFmtId="14">
      <sharedItems containsSemiMixedTypes="0" containsNonDate="0" containsDate="1" containsString="0" minDate="2024-01-04T00:00:00" maxDate="2025-01-04T00:00:00"/>
    </cacheField>
    <cacheField name="Ship_Mode" numFmtId="0">
      <sharedItems/>
    </cacheField>
    <cacheField name="Customer_ID" numFmtId="0">
      <sharedItems/>
    </cacheField>
    <cacheField name="Customer_Name" numFmtId="0">
      <sharedItems/>
    </cacheField>
    <cacheField name="Segment  " numFmtId="0">
      <sharedItems count="3">
        <s v="Consumer"/>
        <s v="Home Office"/>
        <s v="Corporate"/>
      </sharedItems>
    </cacheField>
    <cacheField name="Country" numFmtId="0">
      <sharedItems/>
    </cacheField>
    <cacheField name="Region" numFmtId="0">
      <sharedItems count="4">
        <s v="South"/>
        <s v="East"/>
        <s v="North"/>
        <s v="West"/>
      </sharedItems>
    </cacheField>
    <cacheField name="State" numFmtId="0">
      <sharedItems count="6">
        <s v="Delhi"/>
        <s v="Maharashtra"/>
        <s v="Karnataka"/>
        <s v="West Bengal"/>
        <s v="Gujarat"/>
        <s v="Tamil Nadu"/>
      </sharedItems>
    </cacheField>
    <cacheField name="City" numFmtId="0">
      <sharedItems count="6">
        <s v="Mumbai"/>
        <s v="Delhi"/>
        <s v="Bangalore"/>
        <s v="Kolkata"/>
        <s v="Ahmedabad"/>
        <s v="Chennai"/>
      </sharedItems>
    </cacheField>
    <cacheField name="Category" numFmtId="0">
      <sharedItems count="3">
        <s v="Furniture"/>
        <s v="Technology"/>
        <s v="Office Supplies"/>
      </sharedItems>
    </cacheField>
    <cacheField name="Sub_Category" numFmtId="0">
      <sharedItems/>
    </cacheField>
    <cacheField name="Product_Name" numFmtId="0">
      <sharedItems count="6">
        <s v="Samsung Galaxy"/>
        <s v="Wireless Mouse"/>
        <s v="HP Pavilion"/>
        <s v="Office Table"/>
        <s v="Office Chair"/>
        <s v="A4 Paper"/>
      </sharedItems>
    </cacheField>
    <cacheField name="Sales" numFmtId="0">
      <sharedItems containsSemiMixedTypes="0" containsString="0" containsNumber="1" containsInteger="1" minValue="532" maxValue="59955"/>
    </cacheField>
    <cacheField name="Quantity" numFmtId="0">
      <sharedItems containsSemiMixedTypes="0" containsString="0" containsNumber="1" containsInteger="1" minValue="1" maxValue="10" count="10">
        <n v="7"/>
        <n v="5"/>
        <n v="10"/>
        <n v="3"/>
        <n v="4"/>
        <n v="6"/>
        <n v="9"/>
        <n v="2"/>
        <n v="1"/>
        <n v="8"/>
      </sharedItems>
    </cacheField>
    <cacheField name="Discount" numFmtId="10">
      <sharedItems containsSemiMixedTypes="0" containsString="0" containsNumber="1" minValue="0" maxValue="0.3"/>
    </cacheField>
    <cacheField name="Profit" numFmtId="0">
      <sharedItems containsSemiMixedTypes="0" containsString="0" containsNumber="1" minValue="-7127.04" maxValue="10784.52" count="500">
        <n v="-955.72000000000082"/>
        <n v="-827.38000000000079"/>
        <n v="-4127.28"/>
        <n v="4404.4799999999996"/>
        <n v="3131.5199999999995"/>
        <n v="9760.68"/>
        <n v="-4117.2"/>
        <n v="-399.59999999999997"/>
        <n v="1523.99"/>
        <n v="-708.66000000000065"/>
        <n v="-47.060000000000045"/>
        <n v="1066.8599999999999"/>
        <n v="-3354.72"/>
        <n v="-1021.320000000001"/>
        <n v="2278.7199999999998"/>
        <n v="-6875.7599999999993"/>
        <n v="1959.9199999999996"/>
        <n v="-3923.52"/>
        <n v="190.15999999999997"/>
        <n v="6849.4400000000005"/>
        <n v="3368.0799999999995"/>
        <n v="7731.62"/>
        <n v="6401.9800000000005"/>
        <n v="-6350.28"/>
        <n v="1151.82"/>
        <n v="-392.52"/>
        <n v="-37.120000000000033"/>
        <n v="-7048.8"/>
        <n v="-463.68"/>
        <n v="812.5"/>
        <n v="-497.96000000000043"/>
        <n v="2763.72"/>
        <n v="508.43"/>
        <n v="5555.34"/>
        <n v="3406.1599999999994"/>
        <n v="-1521.6"/>
        <n v="3821.94"/>
        <n v="-156.56000000000014"/>
        <n v="857.27999999999986"/>
        <n v="3886.7999999999993"/>
        <n v="-786.36"/>
        <n v="2270.84"/>
        <n v="-640.44000000000062"/>
        <n v="84.079999999999984"/>
        <n v="438.31999999999994"/>
        <n v="2922.8799999999997"/>
        <n v="725.11999999999989"/>
        <n v="3621.5999999999995"/>
        <n v="4404.24"/>
        <n v="-572.14000000000055"/>
        <n v="-223.04000000000019"/>
        <n v="-1094.8400000000011"/>
        <n v="2700.3199999999997"/>
        <n v="-350.38000000000034"/>
        <n v="4559.2300000000005"/>
        <n v="-153.72000000000014"/>
        <n v="-11.02000000000001"/>
        <n v="-663.06000000000063"/>
        <n v="5066.28"/>
        <n v="6124.5"/>
        <n v="2473.92"/>
        <n v="3628.5599999999995"/>
        <n v="-346.94000000000028"/>
        <n v="-55.860000000000049"/>
        <n v="-2519.88"/>
        <n v="2346.12"/>
        <n v="-1284.3599999999999"/>
        <n v="-6612.36"/>
        <n v="3121.74"/>
        <n v="201.95999999999998"/>
        <n v="7070.7599999999993"/>
        <n v="-1315.8"/>
        <n v="7092.54"/>
        <n v="2218.5"/>
        <n v="-5826.5999999999995"/>
        <n v="9306.18"/>
        <n v="4999.8"/>
        <n v="3400.9599999999996"/>
        <n v="5638.5"/>
        <n v="-6523.32"/>
        <n v="-22.08000000000002"/>
        <n v="1470.78"/>
        <n v="-86.22000000000007"/>
        <n v="3769.0399999999995"/>
        <n v="-1623.24"/>
        <n v="-601.06000000000051"/>
        <n v="4440.32"/>
        <n v="4697.46"/>
        <n v="3948.88"/>
        <n v="3079.9999999999995"/>
        <n v="-2144.88"/>
        <n v="-1170.680000000001"/>
        <n v="940.31999999999982"/>
        <n v="-4441.8"/>
        <n v="4632.9599999999991"/>
        <n v="10164.779999999999"/>
        <n v="-53.680000000000049"/>
        <n v="2331.5500000000002"/>
        <n v="-749.90000000000066"/>
        <n v="5408.52"/>
        <n v="4804.92"/>
        <n v="876.98"/>
        <n v="1437.4399999999998"/>
        <n v="-4417.92"/>
        <n v="-979.36000000000092"/>
        <n v="823.81000000000006"/>
        <n v="-573.24"/>
        <n v="2093.91"/>
        <n v="-134.84000000000012"/>
        <n v="-1440.48"/>
        <n v="-5591.76"/>
        <n v="4690.6399999999994"/>
        <n v="1410.3199999999997"/>
        <n v="-174.84000000000015"/>
        <n v="2147.6799999999998"/>
        <n v="-627.50000000000057"/>
        <n v="9284.58"/>
        <n v="-1074.48"/>
        <n v="-566.76"/>
        <n v="-5510.76"/>
        <n v="-474.60000000000042"/>
        <n v="2564.0799999999995"/>
        <n v="9496.26"/>
        <n v="-6310.6799999999994"/>
        <n v="-53.700000000000045"/>
        <n v="8070.2999999999993"/>
        <n v="257.59999999999997"/>
        <n v="8026.2"/>
        <n v="2405.13"/>
        <n v="-2306.52"/>
        <n v="241.01999999999998"/>
        <n v="4444.96"/>
        <n v="2070.1799999999998"/>
        <n v="3881.9300000000003"/>
        <n v="95.759999999999991"/>
        <n v="-840.94000000000074"/>
        <n v="-80.980000000000075"/>
        <n v="-5893.2"/>
        <n v="-3203.64"/>
        <n v="4217.59"/>
        <n v="-1584.12"/>
        <n v="1352.26"/>
        <n v="728.26"/>
        <n v="3385.2799999999993"/>
        <n v="-654.6"/>
        <n v="2653.38"/>
        <n v="-3905.8799999999997"/>
        <n v="75.14"/>
        <n v="1622.6399999999996"/>
        <n v="10766.16"/>
        <n v="1338.74"/>
        <n v="-5511.84"/>
        <n v="3559.7599999999993"/>
        <n v="-1815.48"/>
        <n v="10020.779999999999"/>
        <n v="2198.17"/>
        <n v="1249.43"/>
        <n v="-633.48"/>
        <n v="1957.8399999999997"/>
        <n v="-3005.2799999999997"/>
        <n v="2583.75"/>
        <n v="-978.82000000000085"/>
        <n v="3663.27"/>
        <n v="271.67999999999995"/>
        <n v="4432.6100000000006"/>
        <n v="-6782.4"/>
        <n v="98.82"/>
        <n v="1819.8700000000001"/>
        <n v="-1254.5999999999999"/>
        <n v="-20.320000000000018"/>
        <n v="479.75999999999993"/>
        <n v="-739.90000000000066"/>
        <n v="-3914.16"/>
        <n v="-990.24000000000092"/>
        <n v="-263.98000000000025"/>
        <n v="1025.7"/>
        <n v="-5942.16"/>
        <n v="10404.359999999999"/>
        <n v="-800.02000000000066"/>
        <n v="4520.7"/>
        <n v="264.55"/>
        <n v="-562.24000000000046"/>
        <n v="8895.7799999999988"/>
        <n v="-5638.32"/>
        <n v="1852.8799999999997"/>
        <n v="-333.32000000000028"/>
        <n v="-660.84"/>
        <n v="1957.4399999999996"/>
        <n v="2706.8799999999997"/>
        <n v="5488.7300000000005"/>
        <n v="3949.02"/>
        <n v="7939.62"/>
        <n v="5676.12"/>
        <n v="5675.2199999999993"/>
        <n v="1383.72"/>
        <n v="5844.42"/>
        <n v="-1331.28"/>
        <n v="3387.9300000000003"/>
        <n v="7457.2199999999993"/>
        <n v="-471.16000000000042"/>
        <n v="-4263.3599999999997"/>
        <n v="4371.9999999999991"/>
        <n v="6382.4800000000005"/>
        <n v="3418.87"/>
        <n v="997.19999999999982"/>
        <n v="-1850.28"/>
        <n v="-484.91999999999996"/>
        <n v="3785.94"/>
        <n v="2596.62"/>
        <n v="6125.2199999999993"/>
        <n v="4310.6399999999994"/>
        <n v="3169.2799999999993"/>
        <n v="-920.66000000000076"/>
        <n v="-7000.5599999999995"/>
        <n v="5938.5599999999995"/>
        <n v="4645.4399999999996"/>
        <n v="10613.16"/>
        <n v="400.47999999999996"/>
        <n v="2530.71"/>
        <n v="-270.16000000000025"/>
        <n v="2576.4700000000003"/>
        <n v="2469.3599999999997"/>
        <n v="7639.5599999999995"/>
        <n v="4974.4799999999996"/>
        <n v="-3001.2"/>
        <n v="9802.26"/>
        <n v="-313.3600000000003"/>
        <n v="142.19999999999999"/>
        <n v="68.799999999999983"/>
        <n v="-5808.7199999999993"/>
        <n v="-805.24000000000069"/>
        <n v="-35.220000000000034"/>
        <n v="-687.12000000000057"/>
        <n v="4805.0999999999995"/>
        <n v="-396.59999999999997"/>
        <n v="5472.09"/>
        <n v="1261.2799999999997"/>
        <n v="6445.44"/>
        <n v="10447.56"/>
        <n v="-2378.52"/>
        <n v="9055.08"/>
        <n v="3591.77"/>
        <n v="-5393.16"/>
        <n v="264.95999999999998"/>
        <n v="-881.90000000000077"/>
        <n v="5479.76"/>
        <n v="-577.60000000000048"/>
        <n v="6567.84"/>
        <n v="4141.5199999999995"/>
        <n v="1235.4399999999998"/>
        <n v="5823.74"/>
        <n v="8276.94"/>
        <n v="-6667.44"/>
        <n v="-1040.52"/>
        <n v="1952.6399999999999"/>
        <n v="1094.08"/>
        <n v="-4678.92"/>
        <n v="8799.66"/>
        <n v="1143.6799999999998"/>
        <n v="2202.4799999999996"/>
        <n v="1275.56"/>
        <n v="-1015.6800000000009"/>
        <n v="610.48"/>
        <n v="5731.83"/>
        <n v="7128.0300000000007"/>
        <n v="8797.32"/>
        <n v="-6366.84"/>
        <n v="2370.5599999999995"/>
        <n v="1073.7599999999998"/>
        <n v="-231.52000000000021"/>
        <n v="1601.6799999999998"/>
        <n v="3020.5599999999995"/>
        <n v="1992.9599999999998"/>
        <n v="2375.62"/>
        <n v="-3424.3199999999997"/>
        <n v="4618.3999999999996"/>
        <n v="2975.1999999999994"/>
        <n v="-710.88"/>
        <n v="364.78000000000003"/>
        <n v="3609.84"/>
        <n v="2497.5199999999995"/>
        <n v="2184.66"/>
        <n v="-750.62000000000069"/>
        <n v="5621.46"/>
        <n v="-1309.08"/>
        <n v="2982.24"/>
        <n v="-1081.2"/>
        <n v="6360.84"/>
        <n v="6473.74"/>
        <n v="-7127.04"/>
        <n v="4250.9599999999991"/>
        <n v="2084.2199999999998"/>
        <n v="7114.9000000000005"/>
        <n v="4475.6799999999994"/>
        <n v="-544.54000000000053"/>
        <n v="8577.18"/>
        <n v="1334.1599999999999"/>
        <n v="10004.58"/>
        <n v="-698.06000000000063"/>
        <n v="-2318.64"/>
        <n v="1911.6"/>
        <n v="-519.36"/>
        <n v="6508.84"/>
        <n v="-244.50000000000023"/>
        <n v="2289.8399999999997"/>
        <n v="4136.08"/>
        <n v="-848.64"/>
        <n v="3651.1800000000003"/>
        <n v="-281.74000000000024"/>
        <n v="9409.5"/>
        <n v="2590.4799999999996"/>
        <n v="-5950.44"/>
        <n v="77.09"/>
        <n v="5899.01"/>
        <n v="-1119.2200000000009"/>
        <n v="-211.6600000000002"/>
        <n v="-6818.16"/>
        <n v="1072.8"/>
        <n v="76.239999999999995"/>
        <n v="-174.58000000000015"/>
        <n v="6465.29"/>
        <n v="-4809.12"/>
        <n v="-5680.44"/>
        <n v="4303.4399999999996"/>
        <n v="546.07999999999993"/>
        <n v="-166.2"/>
        <n v="3847.8599999999997"/>
        <n v="866.15999999999985"/>
        <n v="-4171.08"/>
        <n v="619.51999999999987"/>
        <n v="4059.2799999999993"/>
        <n v="7794.1500000000005"/>
        <n v="-2319.96"/>
        <n v="9550.7999999999993"/>
        <n v="6439.68"/>
        <n v="1988.3500000000001"/>
        <n v="9586.98"/>
        <n v="7622.9400000000005"/>
        <n v="2032.3199999999997"/>
        <n v="9221.2199999999993"/>
        <n v="6137.56"/>
        <n v="688.09"/>
        <n v="6445.14"/>
        <n v="-386.94000000000034"/>
        <n v="604.76"/>
        <n v="6118.84"/>
        <n v="7802.28"/>
        <n v="-6487.2"/>
        <n v="2723.76"/>
        <n v="-515.0800000000005"/>
        <n v="3382.3999999999996"/>
        <n v="-220.74000000000021"/>
        <n v="-629.98000000000059"/>
        <n v="7716.2800000000007"/>
        <n v="-2611.44"/>
        <n v="-575.06000000000051"/>
        <n v="4963.53"/>
        <n v="6149.16"/>
        <n v="-5636.04"/>
        <n v="-3010.44"/>
        <n v="-4788.5999999999995"/>
        <n v="-6513.96"/>
        <n v="-400.62000000000035"/>
        <n v="-484.64000000000044"/>
        <n v="-2945.7599999999998"/>
        <n v="-797.08000000000072"/>
        <n v="2566.85"/>
        <n v="4595.76"/>
        <n v="3209.96"/>
        <n v="-5675.16"/>
        <n v="-493.36000000000041"/>
        <n v="-283.58000000000027"/>
        <n v="-918.96000000000083"/>
        <n v="2278.7999999999997"/>
        <n v="6369.22"/>
        <n v="4333.8100000000004"/>
        <n v="6818.89"/>
        <n v="3405.2200000000003"/>
        <n v="5704.79"/>
        <n v="-4495.8"/>
        <n v="3007.5199999999995"/>
        <n v="-1166.440000000001"/>
        <n v="4177.9400000000005"/>
        <n v="-1756.9199999999998"/>
        <n v="-632.54000000000053"/>
        <n v="1154.3399999999999"/>
        <n v="-1190.180000000001"/>
        <n v="-748.6000000000007"/>
        <n v="-5888.6399999999994"/>
        <n v="-174.16000000000017"/>
        <n v="-4487.04"/>
        <n v="4404.66"/>
        <n v="-668.4"/>
        <n v="1260.6100000000001"/>
        <n v="-885.0000000000008"/>
        <n v="2609.1199999999994"/>
        <n v="2497.9500000000003"/>
        <n v="9556.56"/>
        <n v="-2998.68"/>
        <n v="2429.1199999999994"/>
        <n v="4294.29"/>
        <n v="685.3599999999999"/>
        <n v="4327.119999999999"/>
        <n v="1157.58"/>
        <n v="-386.03999999999996"/>
        <n v="-1188.0000000000011"/>
        <n v="10784.52"/>
        <n v="7699.12"/>
        <n v="1069.2799999999997"/>
        <n v="4586.9399999999996"/>
        <n v="10696.68"/>
        <n v="5700.42"/>
        <n v="8521.02"/>
        <n v="-1086.2200000000009"/>
        <n v="7137.13"/>
        <n v="1574.0799999999997"/>
        <n v="10771.38"/>
        <n v="-1053.5000000000009"/>
        <n v="487.08"/>
        <n v="-2386.1999999999998"/>
        <n v="2711.15"/>
        <n v="1482.48"/>
        <n v="-1183.5200000000011"/>
        <n v="2761.46"/>
        <n v="1306.3199999999997"/>
        <n v="5114.8500000000004"/>
        <n v="-24.160000000000021"/>
        <n v="674.56"/>
        <n v="-533.14000000000044"/>
        <n v="-284.14000000000027"/>
        <n v="4760.34"/>
        <n v="3267.1999999999994"/>
        <n v="4769.3599999999997"/>
        <n v="3638.6399999999994"/>
        <n v="-908.72000000000082"/>
        <n v="10299.06"/>
        <n v="5839.34"/>
        <n v="1144.26"/>
        <n v="3660.8"/>
        <n v="2386.3199999999997"/>
        <n v="-538.68000000000052"/>
        <n v="1238.0799999999997"/>
        <n v="3866.6399999999994"/>
        <n v="4374.079999999999"/>
        <n v="-284.58000000000027"/>
        <n v="139.19999999999999"/>
        <n v="3870.9599999999996"/>
        <n v="934.92"/>
        <n v="-816.18000000000075"/>
        <n v="-5721.12"/>
        <n v="-315.47999999999996"/>
        <n v="4625.1999999999989"/>
        <n v="3333.3599999999997"/>
        <n v="-131.16000000000011"/>
        <n v="5137.38"/>
        <n v="-6862.32"/>
        <n v="-753.08000000000072"/>
        <n v="7026.84"/>
        <n v="884.07999999999981"/>
        <n v="1572.8700000000001"/>
        <n v="1117.74"/>
        <n v="8989.92"/>
        <n v="186.03"/>
        <n v="-3583.08"/>
        <n v="1372.9599999999998"/>
        <n v="-763.56"/>
        <n v="3741.66"/>
        <n v="1278.8799999999999"/>
        <n v="-4314.72"/>
        <n v="1835.9999999999998"/>
        <n v="7079.4"/>
        <n v="-134.06000000000012"/>
        <n v="-851.86000000000081"/>
        <n v="1749.5999999999997"/>
        <n v="-826.70000000000073"/>
        <n v="-314.68000000000029"/>
        <n v="7487.6399999999994"/>
        <n v="504.35999999999996"/>
        <n v="6947.6399999999994"/>
        <n v="-2118.6"/>
        <n v="-6058.08"/>
        <n v="6835.79"/>
        <n v="4465.8900000000003"/>
        <n v="3587.7599999999998"/>
        <n v="328.79999999999995"/>
        <n v="575.3599999999999"/>
        <n v="552.24"/>
        <n v="-3542.64"/>
        <n v="410.93"/>
        <n v="7004.66"/>
        <n v="3321.6799999999994"/>
        <n v="-87.420000000000073"/>
        <n v="-6409.44"/>
        <n v="4687.3599999999997"/>
        <n v="-1093.360000000001"/>
        <n v="7422.7400000000007"/>
        <n v="5647.2"/>
        <n v="3125.2000000000003"/>
        <n v="3241.3599999999997"/>
        <n v="5039.6399999999994"/>
      </sharedItems>
    </cacheField>
    <cacheField name="Order_Processing_Days" numFmtId="0">
      <sharedItems containsSemiMixedTypes="0" containsString="0" containsNumber="1" containsInteger="1" minValue="0" maxValue="5"/>
    </cacheField>
    <cacheField name="Profit_Margin" numFmtId="10">
      <sharedItems containsSemiMixedTypes="0" containsString="0" containsNumber="1" minValue="-0.12000000000000001" maxValue="0.18000000000000002"/>
    </cacheField>
    <cacheField name="Discount_Flag" numFmtId="0">
      <sharedItems/>
    </cacheField>
    <cacheField name="Days (Order_Date)" numFmtId="0" databaseField="0">
      <fieldGroup base="1">
        <rangePr groupBy="days" startDate="2024-01-02T00:00:00" endDate="2025-01-01T00:00:00"/>
        <groupItems count="368">
          <s v="&lt;02-01-2024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1-01-2025"/>
        </groupItems>
      </fieldGroup>
    </cacheField>
    <cacheField name="Months (Order_Date)" numFmtId="0" databaseField="0">
      <fieldGroup base="1">
        <rangePr groupBy="months" startDate="2024-01-02T00:00:00" endDate="2025-01-01T00:00:00"/>
        <groupItems count="14">
          <s v="&lt;02-01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2025"/>
        </groupItems>
      </fieldGroup>
    </cacheField>
  </cacheFields>
  <extLst>
    <ext xmlns:x14="http://schemas.microsoft.com/office/spreadsheetml/2009/9/main" uri="{725AE2AE-9491-48be-B2B4-4EB974FC3084}">
      <x14:pivotCacheDefinition pivotCacheId="109073438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s v="ORD-1"/>
    <x v="0"/>
    <d v="2024-02-16T00:00:00"/>
    <s v="Second Class"/>
    <s v="CU-271"/>
    <s v="Amit Verma"/>
    <x v="0"/>
    <s v="India"/>
    <x v="0"/>
    <x v="0"/>
    <x v="0"/>
    <x v="0"/>
    <s v="Mobile"/>
    <x v="0"/>
    <n v="47786"/>
    <x v="0"/>
    <n v="0.2"/>
    <x v="0"/>
    <n v="1"/>
    <n v="-2.0000000000000018E-2"/>
    <s v="High Discount"/>
  </r>
  <r>
    <s v="ORD-2"/>
    <x v="1"/>
    <d v="2024-05-31T00:00:00"/>
    <s v="Second Class"/>
    <s v="CU-166"/>
    <s v="Ravi Mehta"/>
    <x v="1"/>
    <s v="India"/>
    <x v="1"/>
    <x v="1"/>
    <x v="1"/>
    <x v="0"/>
    <s v="Mobile"/>
    <x v="1"/>
    <n v="41369"/>
    <x v="1"/>
    <n v="0.2"/>
    <x v="1"/>
    <n v="4"/>
    <n v="-2.0000000000000018E-2"/>
    <s v="High Discount"/>
  </r>
  <r>
    <s v="ORD-3"/>
    <x v="2"/>
    <d v="2024-09-15T00:00:00"/>
    <s v="Standard Class"/>
    <s v="CU-118"/>
    <s v="Rahul Sharma"/>
    <x v="0"/>
    <s v="India"/>
    <x v="2"/>
    <x v="2"/>
    <x v="2"/>
    <x v="1"/>
    <s v="Table"/>
    <x v="2"/>
    <n v="34394"/>
    <x v="2"/>
    <n v="0.3"/>
    <x v="2"/>
    <n v="3"/>
    <n v="-0.12"/>
    <s v="High Discount"/>
  </r>
  <r>
    <s v="ORD-4"/>
    <x v="3"/>
    <d v="2024-08-09T00:00:00"/>
    <s v="Second Class"/>
    <s v="CU-331"/>
    <s v="Amit Verma"/>
    <x v="2"/>
    <s v="India"/>
    <x v="3"/>
    <x v="1"/>
    <x v="3"/>
    <x v="2"/>
    <s v="Mobile"/>
    <x v="1"/>
    <n v="55056"/>
    <x v="0"/>
    <n v="0.1"/>
    <x v="3"/>
    <n v="3"/>
    <n v="7.9999999999999988E-2"/>
    <s v="Low Discount"/>
  </r>
  <r>
    <s v="ORD-5"/>
    <x v="4"/>
    <d v="2024-03-19T00:00:00"/>
    <s v="Same Day"/>
    <s v="CU-424"/>
    <s v="Priya Singh"/>
    <x v="1"/>
    <s v="India"/>
    <x v="2"/>
    <x v="3"/>
    <x v="3"/>
    <x v="1"/>
    <s v="Chair"/>
    <x v="1"/>
    <n v="39144"/>
    <x v="3"/>
    <n v="0.1"/>
    <x v="4"/>
    <n v="0"/>
    <n v="7.9999999999999988E-2"/>
    <s v="Low Discount"/>
  </r>
  <r>
    <s v="ORD-6"/>
    <x v="5"/>
    <d v="2024-05-23T00:00:00"/>
    <s v="Standard Class"/>
    <s v="CU-328"/>
    <s v="Arjun Malhotra"/>
    <x v="2"/>
    <s v="India"/>
    <x v="1"/>
    <x v="3"/>
    <x v="3"/>
    <x v="2"/>
    <s v="Chair"/>
    <x v="0"/>
    <n v="54226"/>
    <x v="4"/>
    <n v="0"/>
    <x v="5"/>
    <n v="3"/>
    <n v="0.18"/>
    <s v="Low Discount"/>
  </r>
  <r>
    <s v="ORD-7"/>
    <x v="6"/>
    <d v="2024-12-14T00:00:00"/>
    <s v="Standard Class"/>
    <s v="CU-637"/>
    <s v="Arjun Malhotra"/>
    <x v="0"/>
    <s v="India"/>
    <x v="0"/>
    <x v="4"/>
    <x v="0"/>
    <x v="2"/>
    <s v="Mobile"/>
    <x v="2"/>
    <n v="34310"/>
    <x v="1"/>
    <n v="0.3"/>
    <x v="6"/>
    <n v="3"/>
    <n v="-0.12"/>
    <s v="High Discount"/>
  </r>
  <r>
    <s v="ORD-8"/>
    <x v="7"/>
    <d v="2024-10-22T00:00:00"/>
    <s v="Second Class"/>
    <s v="CU-319"/>
    <s v="Rahul Sharma"/>
    <x v="2"/>
    <s v="India"/>
    <x v="0"/>
    <x v="3"/>
    <x v="2"/>
    <x v="2"/>
    <s v="Paper"/>
    <x v="1"/>
    <n v="3330"/>
    <x v="1"/>
    <n v="0.3"/>
    <x v="7"/>
    <n v="4"/>
    <n v="-0.12"/>
    <s v="High Discount"/>
  </r>
  <r>
    <s v="ORD-9"/>
    <x v="8"/>
    <d v="2024-06-27T00:00:00"/>
    <s v="Standard Class"/>
    <s v="CU-596"/>
    <s v="Rahul Sharma"/>
    <x v="1"/>
    <s v="India"/>
    <x v="0"/>
    <x v="2"/>
    <x v="1"/>
    <x v="0"/>
    <s v="Chair"/>
    <x v="3"/>
    <n v="11723"/>
    <x v="5"/>
    <n v="0.05"/>
    <x v="8"/>
    <n v="2"/>
    <n v="0.13"/>
    <s v="Low Discount"/>
  </r>
  <r>
    <s v="ORD-10"/>
    <x v="9"/>
    <d v="2024-01-08T00:00:00"/>
    <s v="Same Day"/>
    <s v="CU-710"/>
    <s v="Priya Singh"/>
    <x v="0"/>
    <s v="India"/>
    <x v="2"/>
    <x v="4"/>
    <x v="4"/>
    <x v="0"/>
    <s v="Chair"/>
    <x v="3"/>
    <n v="35433"/>
    <x v="0"/>
    <n v="0.2"/>
    <x v="9"/>
    <n v="1"/>
    <n v="-2.0000000000000018E-2"/>
    <s v="High Discount"/>
  </r>
  <r>
    <s v="ORD-11"/>
    <x v="10"/>
    <d v="2024-03-30T00:00:00"/>
    <s v="Standard Class"/>
    <s v="CU-833"/>
    <s v="Ravi Mehta"/>
    <x v="1"/>
    <s v="India"/>
    <x v="2"/>
    <x v="2"/>
    <x v="1"/>
    <x v="1"/>
    <s v="Mobile"/>
    <x v="3"/>
    <n v="2353"/>
    <x v="6"/>
    <n v="0.2"/>
    <x v="10"/>
    <n v="0"/>
    <n v="-2.0000000000000018E-2"/>
    <s v="High Discount"/>
  </r>
  <r>
    <s v="ORD-12"/>
    <x v="11"/>
    <d v="2024-07-02T00:00:00"/>
    <s v="Second Class"/>
    <s v="CU-348"/>
    <s v="Ravi Mehta"/>
    <x v="2"/>
    <s v="India"/>
    <x v="2"/>
    <x v="1"/>
    <x v="3"/>
    <x v="0"/>
    <s v="Mobile"/>
    <x v="1"/>
    <n v="5927"/>
    <x v="2"/>
    <n v="0"/>
    <x v="11"/>
    <n v="3"/>
    <n v="0.18"/>
    <s v="Low Discount"/>
  </r>
  <r>
    <s v="ORD-13"/>
    <x v="12"/>
    <d v="2024-07-30T00:00:00"/>
    <s v="Second Class"/>
    <s v="CU-986"/>
    <s v="Rahul Sharma"/>
    <x v="2"/>
    <s v="India"/>
    <x v="2"/>
    <x v="4"/>
    <x v="2"/>
    <x v="1"/>
    <s v="Paper"/>
    <x v="0"/>
    <n v="27956"/>
    <x v="7"/>
    <n v="0.3"/>
    <x v="12"/>
    <n v="0"/>
    <n v="-0.12"/>
    <s v="High Discount"/>
  </r>
  <r>
    <s v="ORD-14"/>
    <x v="13"/>
    <d v="2024-01-08T00:00:00"/>
    <s v="Second Class"/>
    <s v="CU-198"/>
    <s v="Neha Gupta"/>
    <x v="0"/>
    <s v="India"/>
    <x v="2"/>
    <x v="0"/>
    <x v="4"/>
    <x v="0"/>
    <s v="Mobile"/>
    <x v="0"/>
    <n v="51066"/>
    <x v="5"/>
    <n v="0.2"/>
    <x v="13"/>
    <n v="3"/>
    <n v="-2.0000000000000018E-2"/>
    <s v="High Discount"/>
  </r>
  <r>
    <s v="ORD-15"/>
    <x v="14"/>
    <d v="2024-08-25T00:00:00"/>
    <s v="Second Class"/>
    <s v="CU-366"/>
    <s v="Rahul Sharma"/>
    <x v="0"/>
    <s v="India"/>
    <x v="0"/>
    <x v="0"/>
    <x v="1"/>
    <x v="1"/>
    <s v="Laptop"/>
    <x v="2"/>
    <n v="28484"/>
    <x v="4"/>
    <n v="0.1"/>
    <x v="14"/>
    <n v="2"/>
    <n v="7.9999999999999988E-2"/>
    <s v="Low Discount"/>
  </r>
  <r>
    <s v="ORD-16"/>
    <x v="15"/>
    <d v="2024-02-22T00:00:00"/>
    <s v="Same Day"/>
    <s v="CU-922"/>
    <s v="Rahul Sharma"/>
    <x v="1"/>
    <s v="India"/>
    <x v="0"/>
    <x v="5"/>
    <x v="3"/>
    <x v="1"/>
    <s v="Laptop"/>
    <x v="3"/>
    <n v="57298"/>
    <x v="5"/>
    <n v="0.3"/>
    <x v="15"/>
    <n v="5"/>
    <n v="-0.11999999999999998"/>
    <s v="High Discount"/>
  </r>
  <r>
    <s v="ORD-17"/>
    <x v="16"/>
    <d v="2024-11-28T00:00:00"/>
    <s v="Standard Class"/>
    <s v="CU-415"/>
    <s v="Sunil Kumar"/>
    <x v="0"/>
    <s v="India"/>
    <x v="0"/>
    <x v="0"/>
    <x v="0"/>
    <x v="2"/>
    <s v="Laptop"/>
    <x v="4"/>
    <n v="24499"/>
    <x v="5"/>
    <n v="0.1"/>
    <x v="16"/>
    <n v="5"/>
    <n v="7.9999999999999988E-2"/>
    <s v="Low Discount"/>
  </r>
  <r>
    <s v="ORD-18"/>
    <x v="17"/>
    <d v="2024-08-26T00:00:00"/>
    <s v="Same Day"/>
    <s v="CU-736"/>
    <s v="Priya Singh"/>
    <x v="1"/>
    <s v="India"/>
    <x v="3"/>
    <x v="0"/>
    <x v="4"/>
    <x v="2"/>
    <s v="Table"/>
    <x v="1"/>
    <n v="32696"/>
    <x v="7"/>
    <n v="0.3"/>
    <x v="17"/>
    <n v="2"/>
    <n v="-0.12"/>
    <s v="High Discount"/>
  </r>
  <r>
    <s v="ORD-19"/>
    <x v="18"/>
    <d v="2024-02-25T00:00:00"/>
    <s v="Same Day"/>
    <s v="CU-223"/>
    <s v="Sunil Kumar"/>
    <x v="1"/>
    <s v="India"/>
    <x v="2"/>
    <x v="4"/>
    <x v="3"/>
    <x v="1"/>
    <s v="Table"/>
    <x v="2"/>
    <n v="2377"/>
    <x v="5"/>
    <n v="0.1"/>
    <x v="18"/>
    <n v="4"/>
    <n v="7.9999999999999988E-2"/>
    <s v="Low Discount"/>
  </r>
  <r>
    <s v="ORD-20"/>
    <x v="19"/>
    <d v="2024-11-14T00:00:00"/>
    <s v="Same Day"/>
    <s v="CU-810"/>
    <s v="Neha Gupta"/>
    <x v="1"/>
    <s v="India"/>
    <x v="2"/>
    <x v="1"/>
    <x v="0"/>
    <x v="0"/>
    <s v="Paper"/>
    <x v="2"/>
    <n v="52688"/>
    <x v="5"/>
    <n v="0.05"/>
    <x v="19"/>
    <n v="0"/>
    <n v="0.13"/>
    <s v="Low Discount"/>
  </r>
  <r>
    <s v="ORD-21"/>
    <x v="20"/>
    <d v="2024-09-12T00:00:00"/>
    <s v="Standard Class"/>
    <s v="CU-184"/>
    <s v="Rahul Sharma"/>
    <x v="2"/>
    <s v="India"/>
    <x v="1"/>
    <x v="2"/>
    <x v="1"/>
    <x v="2"/>
    <s v="Laptop"/>
    <x v="1"/>
    <n v="42101"/>
    <x v="1"/>
    <n v="0.1"/>
    <x v="20"/>
    <n v="2"/>
    <n v="7.9999999999999988E-2"/>
    <s v="Low Discount"/>
  </r>
  <r>
    <s v="ORD-22"/>
    <x v="21"/>
    <d v="2024-08-23T00:00:00"/>
    <s v="Standard Class"/>
    <s v="CU-300"/>
    <s v="Amit Verma"/>
    <x v="0"/>
    <s v="India"/>
    <x v="2"/>
    <x v="0"/>
    <x v="5"/>
    <x v="1"/>
    <s v="Table"/>
    <x v="3"/>
    <n v="59474"/>
    <x v="3"/>
    <n v="0.05"/>
    <x v="21"/>
    <n v="4"/>
    <n v="0.13"/>
    <s v="Low Discount"/>
  </r>
  <r>
    <s v="ORD-23"/>
    <x v="22"/>
    <d v="2024-04-28T00:00:00"/>
    <s v="Second Class"/>
    <s v="CU-770"/>
    <s v="Pooja Yadav"/>
    <x v="0"/>
    <s v="India"/>
    <x v="3"/>
    <x v="2"/>
    <x v="5"/>
    <x v="0"/>
    <s v="Laptop"/>
    <x v="3"/>
    <n v="49246"/>
    <x v="5"/>
    <n v="0.05"/>
    <x v="22"/>
    <n v="0"/>
    <n v="0.13"/>
    <s v="Low Discount"/>
  </r>
  <r>
    <s v="ORD-24"/>
    <x v="23"/>
    <d v="2024-08-22T00:00:00"/>
    <s v="Same Day"/>
    <s v="CU-845"/>
    <s v="Sunil Kumar"/>
    <x v="1"/>
    <s v="India"/>
    <x v="0"/>
    <x v="0"/>
    <x v="1"/>
    <x v="0"/>
    <s v="Paper"/>
    <x v="2"/>
    <n v="52919"/>
    <x v="8"/>
    <n v="0.3"/>
    <x v="23"/>
    <n v="1"/>
    <n v="-0.12"/>
    <s v="High Discount"/>
  </r>
  <r>
    <s v="ORD-25"/>
    <x v="24"/>
    <d v="2024-06-22T00:00:00"/>
    <s v="Same Day"/>
    <s v="CU-342"/>
    <s v="Sunil Kumar"/>
    <x v="2"/>
    <s v="India"/>
    <x v="0"/>
    <x v="4"/>
    <x v="2"/>
    <x v="0"/>
    <s v="Laptop"/>
    <x v="0"/>
    <n v="6399"/>
    <x v="6"/>
    <n v="0"/>
    <x v="24"/>
    <n v="4"/>
    <n v="0.18"/>
    <s v="Low Discount"/>
  </r>
  <r>
    <s v="ORD-26"/>
    <x v="25"/>
    <d v="2024-12-11T00:00:00"/>
    <s v="Second Class"/>
    <s v="CU-722"/>
    <s v="Neha Gupta"/>
    <x v="1"/>
    <s v="India"/>
    <x v="2"/>
    <x v="2"/>
    <x v="5"/>
    <x v="2"/>
    <s v="Chair"/>
    <x v="5"/>
    <n v="3271"/>
    <x v="1"/>
    <n v="0.3"/>
    <x v="25"/>
    <n v="3"/>
    <n v="-0.12"/>
    <s v="High Discount"/>
  </r>
  <r>
    <s v="ORD-27"/>
    <x v="26"/>
    <d v="2024-09-16T00:00:00"/>
    <s v="Second Class"/>
    <s v="CU-163"/>
    <s v="Rahul Sharma"/>
    <x v="2"/>
    <s v="India"/>
    <x v="1"/>
    <x v="5"/>
    <x v="4"/>
    <x v="1"/>
    <s v="Table"/>
    <x v="5"/>
    <n v="1856"/>
    <x v="7"/>
    <n v="0.2"/>
    <x v="26"/>
    <n v="1"/>
    <n v="-2.0000000000000018E-2"/>
    <s v="High Discount"/>
  </r>
  <r>
    <s v="ORD-28"/>
    <x v="16"/>
    <d v="2024-11-23T00:00:00"/>
    <s v="Standard Class"/>
    <s v="CU-465"/>
    <s v="Pooja Yadav"/>
    <x v="2"/>
    <s v="India"/>
    <x v="0"/>
    <x v="4"/>
    <x v="1"/>
    <x v="2"/>
    <s v="Chair"/>
    <x v="4"/>
    <n v="58740"/>
    <x v="6"/>
    <n v="0.3"/>
    <x v="27"/>
    <n v="0"/>
    <n v="-0.12000000000000001"/>
    <s v="High Discount"/>
  </r>
  <r>
    <s v="ORD-29"/>
    <x v="27"/>
    <d v="2024-02-10T00:00:00"/>
    <s v="Second Class"/>
    <s v="CU-600"/>
    <s v="Arjun Malhotra"/>
    <x v="0"/>
    <s v="India"/>
    <x v="2"/>
    <x v="3"/>
    <x v="3"/>
    <x v="2"/>
    <s v="Laptop"/>
    <x v="0"/>
    <n v="3864"/>
    <x v="5"/>
    <n v="0.3"/>
    <x v="28"/>
    <n v="4"/>
    <n v="-0.12"/>
    <s v="High Discount"/>
  </r>
  <r>
    <s v="ORD-30"/>
    <x v="28"/>
    <d v="2024-04-03T00:00:00"/>
    <s v="Standard Class"/>
    <s v="CU-834"/>
    <s v="Sunil Kumar"/>
    <x v="0"/>
    <s v="India"/>
    <x v="1"/>
    <x v="1"/>
    <x v="4"/>
    <x v="2"/>
    <s v="Paper"/>
    <x v="1"/>
    <n v="6250"/>
    <x v="2"/>
    <n v="0.05"/>
    <x v="29"/>
    <n v="0"/>
    <n v="0.13"/>
    <s v="Low Discount"/>
  </r>
  <r>
    <s v="ORD-31"/>
    <x v="29"/>
    <d v="2024-06-15T00:00:00"/>
    <s v="Same Day"/>
    <s v="CU-499"/>
    <s v="Arjun Malhotra"/>
    <x v="0"/>
    <s v="India"/>
    <x v="2"/>
    <x v="5"/>
    <x v="0"/>
    <x v="1"/>
    <s v="Mobile"/>
    <x v="0"/>
    <n v="24898"/>
    <x v="5"/>
    <n v="0.2"/>
    <x v="30"/>
    <n v="5"/>
    <n v="-2.0000000000000018E-2"/>
    <s v="High Discount"/>
  </r>
  <r>
    <s v="ORD-32"/>
    <x v="30"/>
    <d v="2024-09-08T00:00:00"/>
    <s v="Same Day"/>
    <s v="CU-613"/>
    <s v="Pooja Yadav"/>
    <x v="0"/>
    <s v="India"/>
    <x v="2"/>
    <x v="1"/>
    <x v="5"/>
    <x v="2"/>
    <s v="Chair"/>
    <x v="1"/>
    <n v="15354"/>
    <x v="5"/>
    <n v="0"/>
    <x v="31"/>
    <n v="0"/>
    <n v="0.18"/>
    <s v="Low Discount"/>
  </r>
  <r>
    <s v="ORD-33"/>
    <x v="31"/>
    <d v="2024-06-02T00:00:00"/>
    <s v="Standard Class"/>
    <s v="CU-807"/>
    <s v="Neha Gupta"/>
    <x v="2"/>
    <s v="India"/>
    <x v="3"/>
    <x v="0"/>
    <x v="4"/>
    <x v="0"/>
    <s v="Table"/>
    <x v="0"/>
    <n v="3911"/>
    <x v="8"/>
    <n v="0.05"/>
    <x v="32"/>
    <n v="3"/>
    <n v="0.13"/>
    <s v="Low Discount"/>
  </r>
  <r>
    <s v="ORD-34"/>
    <x v="32"/>
    <d v="2024-04-11T00:00:00"/>
    <s v="Same Day"/>
    <s v="CU-348"/>
    <s v="Priya Singh"/>
    <x v="2"/>
    <s v="India"/>
    <x v="3"/>
    <x v="1"/>
    <x v="3"/>
    <x v="1"/>
    <s v="Mobile"/>
    <x v="3"/>
    <n v="30863"/>
    <x v="8"/>
    <n v="0"/>
    <x v="33"/>
    <n v="2"/>
    <n v="0.18"/>
    <s v="Low Discount"/>
  </r>
  <r>
    <s v="ORD-35"/>
    <x v="33"/>
    <d v="2024-04-23T00:00:00"/>
    <s v="Standard Class"/>
    <s v="CU-782"/>
    <s v="Arjun Malhotra"/>
    <x v="1"/>
    <s v="India"/>
    <x v="3"/>
    <x v="2"/>
    <x v="3"/>
    <x v="1"/>
    <s v="Chair"/>
    <x v="5"/>
    <n v="42577"/>
    <x v="3"/>
    <n v="0.1"/>
    <x v="34"/>
    <n v="5"/>
    <n v="7.9999999999999988E-2"/>
    <s v="Low Discount"/>
  </r>
  <r>
    <s v="ORD-36"/>
    <x v="34"/>
    <d v="2024-07-05T00:00:00"/>
    <s v="Same Day"/>
    <s v="CU-189"/>
    <s v="Rahul Sharma"/>
    <x v="1"/>
    <s v="India"/>
    <x v="0"/>
    <x v="0"/>
    <x v="1"/>
    <x v="1"/>
    <s v="Laptop"/>
    <x v="2"/>
    <n v="12680"/>
    <x v="2"/>
    <n v="0.3"/>
    <x v="35"/>
    <n v="2"/>
    <n v="-0.12"/>
    <s v="High Discount"/>
  </r>
  <r>
    <s v="ORD-37"/>
    <x v="35"/>
    <d v="2024-10-10T00:00:00"/>
    <s v="Same Day"/>
    <s v="CU-414"/>
    <s v="Ravi Mehta"/>
    <x v="2"/>
    <s v="India"/>
    <x v="3"/>
    <x v="4"/>
    <x v="5"/>
    <x v="1"/>
    <s v="Chair"/>
    <x v="2"/>
    <n v="21233"/>
    <x v="6"/>
    <n v="0"/>
    <x v="36"/>
    <n v="1"/>
    <n v="0.18"/>
    <s v="Low Discount"/>
  </r>
  <r>
    <s v="ORD-38"/>
    <x v="36"/>
    <d v="2024-08-13T00:00:00"/>
    <s v="Standard Class"/>
    <s v="CU-155"/>
    <s v="Rahul Sharma"/>
    <x v="1"/>
    <s v="India"/>
    <x v="1"/>
    <x v="3"/>
    <x v="3"/>
    <x v="2"/>
    <s v="Table"/>
    <x v="2"/>
    <n v="7828"/>
    <x v="4"/>
    <n v="0.2"/>
    <x v="37"/>
    <n v="2"/>
    <n v="-2.0000000000000018E-2"/>
    <s v="High Discount"/>
  </r>
  <r>
    <s v="ORD-39"/>
    <x v="37"/>
    <d v="2024-07-21T00:00:00"/>
    <s v="Second Class"/>
    <s v="CU-302"/>
    <s v="Rahul Sharma"/>
    <x v="0"/>
    <s v="India"/>
    <x v="0"/>
    <x v="2"/>
    <x v="3"/>
    <x v="1"/>
    <s v="Laptop"/>
    <x v="5"/>
    <n v="10716"/>
    <x v="3"/>
    <n v="0.1"/>
    <x v="38"/>
    <n v="1"/>
    <n v="7.9999999999999988E-2"/>
    <s v="Low Discount"/>
  </r>
  <r>
    <s v="ORD-40"/>
    <x v="38"/>
    <d v="2024-10-20T00:00:00"/>
    <s v="Same Day"/>
    <s v="CU-546"/>
    <s v="Amit Verma"/>
    <x v="2"/>
    <s v="India"/>
    <x v="2"/>
    <x v="5"/>
    <x v="3"/>
    <x v="1"/>
    <s v="Laptop"/>
    <x v="2"/>
    <n v="48585"/>
    <x v="6"/>
    <n v="0.1"/>
    <x v="39"/>
    <n v="1"/>
    <n v="7.9999999999999988E-2"/>
    <s v="Low Discount"/>
  </r>
  <r>
    <s v="ORD-41"/>
    <x v="39"/>
    <d v="2024-10-14T00:00:00"/>
    <s v="Same Day"/>
    <s v="CU-372"/>
    <s v="Pooja Yadav"/>
    <x v="2"/>
    <s v="India"/>
    <x v="2"/>
    <x v="5"/>
    <x v="5"/>
    <x v="1"/>
    <s v="Paper"/>
    <x v="1"/>
    <n v="6553"/>
    <x v="1"/>
    <n v="0.3"/>
    <x v="40"/>
    <n v="0"/>
    <n v="-0.12"/>
    <s v="High Discount"/>
  </r>
  <r>
    <s v="ORD-42"/>
    <x v="40"/>
    <d v="2024-05-06T00:00:00"/>
    <s v="Same Day"/>
    <s v="CU-865"/>
    <s v="Amit Verma"/>
    <x v="2"/>
    <s v="India"/>
    <x v="3"/>
    <x v="2"/>
    <x v="0"/>
    <x v="2"/>
    <s v="Paper"/>
    <x v="3"/>
    <n v="17468"/>
    <x v="8"/>
    <n v="0.05"/>
    <x v="41"/>
    <n v="4"/>
    <n v="0.13"/>
    <s v="Low Discount"/>
  </r>
  <r>
    <s v="ORD-43"/>
    <x v="41"/>
    <d v="2024-11-12T00:00:00"/>
    <s v="Standard Class"/>
    <s v="CU-361"/>
    <s v="Pooja Yadav"/>
    <x v="2"/>
    <s v="India"/>
    <x v="1"/>
    <x v="2"/>
    <x v="5"/>
    <x v="2"/>
    <s v="Paper"/>
    <x v="3"/>
    <n v="32022"/>
    <x v="6"/>
    <n v="0.2"/>
    <x v="42"/>
    <n v="1"/>
    <n v="-2.0000000000000018E-2"/>
    <s v="High Discount"/>
  </r>
  <r>
    <s v="ORD-44"/>
    <x v="42"/>
    <d v="2024-11-07T00:00:00"/>
    <s v="Second Class"/>
    <s v="CU-368"/>
    <s v="Priya Singh"/>
    <x v="2"/>
    <s v="India"/>
    <x v="1"/>
    <x v="4"/>
    <x v="3"/>
    <x v="2"/>
    <s v="Paper"/>
    <x v="1"/>
    <n v="1051"/>
    <x v="6"/>
    <n v="0.1"/>
    <x v="43"/>
    <n v="0"/>
    <n v="7.9999999999999988E-2"/>
    <s v="Low Discount"/>
  </r>
  <r>
    <s v="ORD-45"/>
    <x v="43"/>
    <d v="2024-12-26T00:00:00"/>
    <s v="Same Day"/>
    <s v="CU-646"/>
    <s v="Ravi Mehta"/>
    <x v="0"/>
    <s v="India"/>
    <x v="0"/>
    <x v="1"/>
    <x v="0"/>
    <x v="0"/>
    <s v="Table"/>
    <x v="0"/>
    <n v="5479"/>
    <x v="5"/>
    <n v="0.1"/>
    <x v="44"/>
    <n v="1"/>
    <n v="7.9999999999999988E-2"/>
    <s v="Low Discount"/>
  </r>
  <r>
    <s v="ORD-46"/>
    <x v="44"/>
    <d v="2024-04-17T00:00:00"/>
    <s v="Same Day"/>
    <s v="CU-107"/>
    <s v="Amit Verma"/>
    <x v="1"/>
    <s v="India"/>
    <x v="3"/>
    <x v="5"/>
    <x v="1"/>
    <x v="1"/>
    <s v="Table"/>
    <x v="2"/>
    <n v="36536"/>
    <x v="0"/>
    <n v="0.1"/>
    <x v="45"/>
    <n v="0"/>
    <n v="7.9999999999999988E-2"/>
    <s v="Low Discount"/>
  </r>
  <r>
    <s v="ORD-47"/>
    <x v="45"/>
    <d v="2024-05-19T00:00:00"/>
    <s v="Second Class"/>
    <s v="CU-436"/>
    <s v="Ravi Mehta"/>
    <x v="2"/>
    <s v="India"/>
    <x v="3"/>
    <x v="4"/>
    <x v="2"/>
    <x v="2"/>
    <s v="Table"/>
    <x v="4"/>
    <n v="9064"/>
    <x v="1"/>
    <n v="0.1"/>
    <x v="46"/>
    <n v="3"/>
    <n v="7.9999999999999988E-2"/>
    <s v="Low Discount"/>
  </r>
  <r>
    <s v="ORD-48"/>
    <x v="46"/>
    <d v="2024-10-14T00:00:00"/>
    <s v="Second Class"/>
    <s v="CU-930"/>
    <s v="Sunil Kumar"/>
    <x v="1"/>
    <s v="India"/>
    <x v="2"/>
    <x v="3"/>
    <x v="4"/>
    <x v="2"/>
    <s v="Mobile"/>
    <x v="3"/>
    <n v="45270"/>
    <x v="7"/>
    <n v="0.1"/>
    <x v="47"/>
    <n v="2"/>
    <n v="7.9999999999999988E-2"/>
    <s v="Low Discount"/>
  </r>
  <r>
    <s v="ORD-49"/>
    <x v="47"/>
    <d v="2024-06-29T00:00:00"/>
    <s v="Standard Class"/>
    <s v="CU-268"/>
    <s v="Rahul Sharma"/>
    <x v="2"/>
    <s v="India"/>
    <x v="2"/>
    <x v="2"/>
    <x v="1"/>
    <x v="0"/>
    <s v="Paper"/>
    <x v="2"/>
    <n v="24468"/>
    <x v="0"/>
    <n v="0"/>
    <x v="48"/>
    <n v="2"/>
    <n v="0.18"/>
    <s v="Low Discount"/>
  </r>
  <r>
    <s v="ORD-50"/>
    <x v="4"/>
    <d v="2024-03-24T00:00:00"/>
    <s v="Same Day"/>
    <s v="CU-171"/>
    <s v="Priya Singh"/>
    <x v="0"/>
    <s v="India"/>
    <x v="1"/>
    <x v="1"/>
    <x v="1"/>
    <x v="1"/>
    <s v="Table"/>
    <x v="5"/>
    <n v="28607"/>
    <x v="0"/>
    <n v="0.2"/>
    <x v="49"/>
    <n v="5"/>
    <n v="-2.0000000000000018E-2"/>
    <s v="High Discount"/>
  </r>
  <r>
    <s v="ORD-51"/>
    <x v="48"/>
    <d v="2024-07-26T00:00:00"/>
    <s v="Same Day"/>
    <s v="CU-245"/>
    <s v="Arjun Malhotra"/>
    <x v="1"/>
    <s v="India"/>
    <x v="1"/>
    <x v="5"/>
    <x v="0"/>
    <x v="1"/>
    <s v="Paper"/>
    <x v="3"/>
    <n v="11152"/>
    <x v="5"/>
    <n v="0.2"/>
    <x v="50"/>
    <n v="4"/>
    <n v="-2.0000000000000018E-2"/>
    <s v="High Discount"/>
  </r>
  <r>
    <s v="ORD-52"/>
    <x v="49"/>
    <d v="2024-08-21T00:00:00"/>
    <s v="Second Class"/>
    <s v="CU-806"/>
    <s v="Neha Gupta"/>
    <x v="0"/>
    <s v="India"/>
    <x v="0"/>
    <x v="3"/>
    <x v="4"/>
    <x v="2"/>
    <s v="Chair"/>
    <x v="0"/>
    <n v="54742"/>
    <x v="6"/>
    <n v="0.2"/>
    <x v="51"/>
    <n v="5"/>
    <n v="-2.0000000000000018E-2"/>
    <s v="High Discount"/>
  </r>
  <r>
    <s v="ORD-53"/>
    <x v="50"/>
    <d v="2024-05-19T00:00:00"/>
    <s v="Standard Class"/>
    <s v="CU-104"/>
    <s v="Neha Gupta"/>
    <x v="1"/>
    <s v="India"/>
    <x v="0"/>
    <x v="4"/>
    <x v="5"/>
    <x v="1"/>
    <s v="Paper"/>
    <x v="5"/>
    <n v="33754"/>
    <x v="4"/>
    <n v="0.1"/>
    <x v="52"/>
    <n v="5"/>
    <n v="7.9999999999999988E-2"/>
    <s v="Low Discount"/>
  </r>
  <r>
    <s v="ORD-54"/>
    <x v="41"/>
    <d v="2024-11-14T00:00:00"/>
    <s v="Standard Class"/>
    <s v="CU-314"/>
    <s v="Pooja Yadav"/>
    <x v="0"/>
    <s v="India"/>
    <x v="2"/>
    <x v="0"/>
    <x v="0"/>
    <x v="2"/>
    <s v="Chair"/>
    <x v="4"/>
    <n v="17519"/>
    <x v="9"/>
    <n v="0.2"/>
    <x v="53"/>
    <n v="3"/>
    <n v="-2.0000000000000018E-2"/>
    <s v="High Discount"/>
  </r>
  <r>
    <s v="ORD-55"/>
    <x v="51"/>
    <d v="2024-12-31T00:00:00"/>
    <s v="Same Day"/>
    <s v="CU-667"/>
    <s v="Amit Verma"/>
    <x v="0"/>
    <s v="India"/>
    <x v="0"/>
    <x v="5"/>
    <x v="2"/>
    <x v="0"/>
    <s v="Laptop"/>
    <x v="1"/>
    <n v="35071"/>
    <x v="6"/>
    <n v="0.05"/>
    <x v="54"/>
    <n v="0"/>
    <n v="0.13"/>
    <s v="Low Discount"/>
  </r>
  <r>
    <s v="ORD-56"/>
    <x v="52"/>
    <d v="2024-10-02T00:00:00"/>
    <s v="Second Class"/>
    <s v="CU-437"/>
    <s v="Priya Singh"/>
    <x v="2"/>
    <s v="India"/>
    <x v="0"/>
    <x v="2"/>
    <x v="5"/>
    <x v="1"/>
    <s v="Chair"/>
    <x v="2"/>
    <n v="7686"/>
    <x v="0"/>
    <n v="0.2"/>
    <x v="55"/>
    <n v="3"/>
    <n v="-2.0000000000000018E-2"/>
    <s v="High Discount"/>
  </r>
  <r>
    <s v="ORD-57"/>
    <x v="53"/>
    <d v="2024-11-08T00:00:00"/>
    <s v="Second Class"/>
    <s v="CU-437"/>
    <s v="Arjun Malhotra"/>
    <x v="1"/>
    <s v="India"/>
    <x v="0"/>
    <x v="0"/>
    <x v="5"/>
    <x v="0"/>
    <s v="Paper"/>
    <x v="4"/>
    <n v="551"/>
    <x v="9"/>
    <n v="0.2"/>
    <x v="56"/>
    <n v="0"/>
    <n v="-2.0000000000000018E-2"/>
    <s v="High Discount"/>
  </r>
  <r>
    <s v="ORD-58"/>
    <x v="54"/>
    <d v="2024-06-07T00:00:00"/>
    <s v="Same Day"/>
    <s v="CU-113"/>
    <s v="Arjun Malhotra"/>
    <x v="0"/>
    <s v="India"/>
    <x v="0"/>
    <x v="0"/>
    <x v="0"/>
    <x v="1"/>
    <s v="Mobile"/>
    <x v="2"/>
    <n v="33153"/>
    <x v="6"/>
    <n v="0.2"/>
    <x v="57"/>
    <n v="3"/>
    <n v="-2.0000000000000018E-2"/>
    <s v="High Discount"/>
  </r>
  <r>
    <s v="ORD-59"/>
    <x v="55"/>
    <d v="2024-09-26T00:00:00"/>
    <s v="Same Day"/>
    <s v="CU-982"/>
    <s v="Pooja Yadav"/>
    <x v="2"/>
    <s v="India"/>
    <x v="0"/>
    <x v="3"/>
    <x v="2"/>
    <x v="0"/>
    <s v="Laptop"/>
    <x v="5"/>
    <n v="28146"/>
    <x v="3"/>
    <n v="0"/>
    <x v="58"/>
    <n v="5"/>
    <n v="0.18"/>
    <s v="Low Discount"/>
  </r>
  <r>
    <s v="ORD-60"/>
    <x v="56"/>
    <d v="2024-05-24T00:00:00"/>
    <s v="Standard Class"/>
    <s v="CU-885"/>
    <s v="Sunil Kumar"/>
    <x v="0"/>
    <s v="India"/>
    <x v="3"/>
    <x v="2"/>
    <x v="3"/>
    <x v="0"/>
    <s v="Mobile"/>
    <x v="3"/>
    <n v="34025"/>
    <x v="0"/>
    <n v="0"/>
    <x v="59"/>
    <n v="0"/>
    <n v="0.18"/>
    <s v="Low Discount"/>
  </r>
  <r>
    <s v="ORD-61"/>
    <x v="57"/>
    <d v="2024-03-23T00:00:00"/>
    <s v="Same Day"/>
    <s v="CU-605"/>
    <s v="Sunil Kumar"/>
    <x v="1"/>
    <s v="India"/>
    <x v="1"/>
    <x v="0"/>
    <x v="2"/>
    <x v="2"/>
    <s v="Table"/>
    <x v="1"/>
    <n v="13744"/>
    <x v="5"/>
    <n v="0"/>
    <x v="60"/>
    <n v="1"/>
    <n v="0.18"/>
    <s v="Low Discount"/>
  </r>
  <r>
    <s v="ORD-62"/>
    <x v="58"/>
    <d v="2024-07-10T00:00:00"/>
    <s v="Same Day"/>
    <s v="CU-351"/>
    <s v="Sunil Kumar"/>
    <x v="1"/>
    <s v="India"/>
    <x v="3"/>
    <x v="0"/>
    <x v="2"/>
    <x v="1"/>
    <s v="Table"/>
    <x v="2"/>
    <n v="45357"/>
    <x v="2"/>
    <n v="0.1"/>
    <x v="61"/>
    <n v="3"/>
    <n v="7.9999999999999988E-2"/>
    <s v="Low Discount"/>
  </r>
  <r>
    <s v="ORD-63"/>
    <x v="59"/>
    <d v="2024-07-28T00:00:00"/>
    <s v="Second Class"/>
    <s v="CU-606"/>
    <s v="Arjun Malhotra"/>
    <x v="1"/>
    <s v="India"/>
    <x v="1"/>
    <x v="4"/>
    <x v="3"/>
    <x v="1"/>
    <s v="Chair"/>
    <x v="4"/>
    <n v="17347"/>
    <x v="8"/>
    <n v="0.2"/>
    <x v="62"/>
    <n v="2"/>
    <n v="-2.0000000000000018E-2"/>
    <s v="High Discount"/>
  </r>
  <r>
    <s v="ORD-64"/>
    <x v="60"/>
    <d v="2024-10-19T00:00:00"/>
    <s v="Second Class"/>
    <s v="CU-545"/>
    <s v="Neha Gupta"/>
    <x v="0"/>
    <s v="India"/>
    <x v="0"/>
    <x v="5"/>
    <x v="5"/>
    <x v="1"/>
    <s v="Paper"/>
    <x v="1"/>
    <n v="2793"/>
    <x v="4"/>
    <n v="0.2"/>
    <x v="63"/>
    <n v="3"/>
    <n v="-2.0000000000000018E-2"/>
    <s v="High Discount"/>
  </r>
  <r>
    <s v="ORD-65"/>
    <x v="61"/>
    <d v="2024-04-27T00:00:00"/>
    <s v="Standard Class"/>
    <s v="CU-116"/>
    <s v="Priya Singh"/>
    <x v="1"/>
    <s v="India"/>
    <x v="2"/>
    <x v="1"/>
    <x v="1"/>
    <x v="1"/>
    <s v="Paper"/>
    <x v="3"/>
    <n v="20999"/>
    <x v="6"/>
    <n v="0.3"/>
    <x v="64"/>
    <n v="1"/>
    <n v="-0.12000000000000001"/>
    <s v="High Discount"/>
  </r>
  <r>
    <s v="ORD-66"/>
    <x v="62"/>
    <d v="2024-11-14T00:00:00"/>
    <s v="Second Class"/>
    <s v="CU-843"/>
    <s v="Rahul Sharma"/>
    <x v="0"/>
    <s v="India"/>
    <x v="3"/>
    <x v="0"/>
    <x v="0"/>
    <x v="1"/>
    <s v="Chair"/>
    <x v="4"/>
    <n v="13034"/>
    <x v="8"/>
    <n v="0"/>
    <x v="65"/>
    <n v="5"/>
    <n v="0.18"/>
    <s v="Low Discount"/>
  </r>
  <r>
    <s v="ORD-67"/>
    <x v="63"/>
    <d v="2024-07-15T00:00:00"/>
    <s v="Standard Class"/>
    <s v="CU-469"/>
    <s v="Amit Verma"/>
    <x v="2"/>
    <s v="India"/>
    <x v="1"/>
    <x v="5"/>
    <x v="5"/>
    <x v="0"/>
    <s v="Laptop"/>
    <x v="4"/>
    <n v="10703"/>
    <x v="2"/>
    <n v="0.3"/>
    <x v="66"/>
    <n v="2"/>
    <n v="-0.12"/>
    <s v="High Discount"/>
  </r>
  <r>
    <s v="ORD-68"/>
    <x v="64"/>
    <d v="2024-04-12T00:00:00"/>
    <s v="Standard Class"/>
    <s v="CU-862"/>
    <s v="Ravi Mehta"/>
    <x v="1"/>
    <s v="India"/>
    <x v="0"/>
    <x v="4"/>
    <x v="2"/>
    <x v="0"/>
    <s v="Mobile"/>
    <x v="3"/>
    <n v="55103"/>
    <x v="2"/>
    <n v="0.3"/>
    <x v="67"/>
    <n v="1"/>
    <n v="-0.12"/>
    <s v="High Discount"/>
  </r>
  <r>
    <s v="ORD-69"/>
    <x v="65"/>
    <d v="2024-01-26T00:00:00"/>
    <s v="Second Class"/>
    <s v="CU-636"/>
    <s v="Sunil Kumar"/>
    <x v="2"/>
    <s v="India"/>
    <x v="0"/>
    <x v="2"/>
    <x v="3"/>
    <x v="1"/>
    <s v="Paper"/>
    <x v="1"/>
    <n v="17343"/>
    <x v="3"/>
    <n v="0"/>
    <x v="68"/>
    <n v="5"/>
    <n v="0.18"/>
    <s v="Low Discount"/>
  </r>
  <r>
    <s v="ORD-70"/>
    <x v="66"/>
    <d v="2024-11-27T00:00:00"/>
    <s v="Standard Class"/>
    <s v="CU-610"/>
    <s v="Rahul Sharma"/>
    <x v="2"/>
    <s v="India"/>
    <x v="0"/>
    <x v="2"/>
    <x v="0"/>
    <x v="0"/>
    <s v="Chair"/>
    <x v="4"/>
    <n v="1122"/>
    <x v="9"/>
    <n v="0"/>
    <x v="69"/>
    <n v="1"/>
    <n v="0.18"/>
    <s v="Low Discount"/>
  </r>
  <r>
    <s v="ORD-71"/>
    <x v="64"/>
    <d v="2024-04-14T00:00:00"/>
    <s v="Second Class"/>
    <s v="CU-420"/>
    <s v="Ravi Mehta"/>
    <x v="2"/>
    <s v="India"/>
    <x v="2"/>
    <x v="0"/>
    <x v="1"/>
    <x v="1"/>
    <s v="Laptop"/>
    <x v="5"/>
    <n v="39282"/>
    <x v="1"/>
    <n v="0"/>
    <x v="70"/>
    <n v="3"/>
    <n v="0.18"/>
    <s v="Low Discount"/>
  </r>
  <r>
    <s v="ORD-72"/>
    <x v="55"/>
    <d v="2024-09-25T00:00:00"/>
    <s v="Second Class"/>
    <s v="CU-856"/>
    <s v="Priya Singh"/>
    <x v="2"/>
    <s v="India"/>
    <x v="2"/>
    <x v="3"/>
    <x v="5"/>
    <x v="0"/>
    <s v="Paper"/>
    <x v="5"/>
    <n v="10965"/>
    <x v="4"/>
    <n v="0.3"/>
    <x v="71"/>
    <n v="4"/>
    <n v="-0.12"/>
    <s v="High Discount"/>
  </r>
  <r>
    <s v="ORD-73"/>
    <x v="61"/>
    <d v="2024-05-01T00:00:00"/>
    <s v="Standard Class"/>
    <s v="CU-161"/>
    <s v="Amit Verma"/>
    <x v="0"/>
    <s v="India"/>
    <x v="1"/>
    <x v="2"/>
    <x v="3"/>
    <x v="1"/>
    <s v="Laptop"/>
    <x v="4"/>
    <n v="54558"/>
    <x v="1"/>
    <n v="0.05"/>
    <x v="72"/>
    <n v="5"/>
    <n v="0.13"/>
    <s v="Low Discount"/>
  </r>
  <r>
    <s v="ORD-74"/>
    <x v="67"/>
    <d v="2024-11-05T00:00:00"/>
    <s v="Same Day"/>
    <s v="CU-467"/>
    <s v="Neha Gupta"/>
    <x v="0"/>
    <s v="India"/>
    <x v="3"/>
    <x v="1"/>
    <x v="1"/>
    <x v="1"/>
    <s v="Laptop"/>
    <x v="2"/>
    <n v="12325"/>
    <x v="5"/>
    <n v="0"/>
    <x v="73"/>
    <n v="2"/>
    <n v="0.18"/>
    <s v="Low Discount"/>
  </r>
  <r>
    <s v="ORD-75"/>
    <x v="68"/>
    <d v="2024-06-04T00:00:00"/>
    <s v="Same Day"/>
    <s v="CU-185"/>
    <s v="Sunil Kumar"/>
    <x v="0"/>
    <s v="India"/>
    <x v="0"/>
    <x v="3"/>
    <x v="0"/>
    <x v="2"/>
    <s v="Table"/>
    <x v="2"/>
    <n v="48555"/>
    <x v="4"/>
    <n v="0.3"/>
    <x v="74"/>
    <n v="3"/>
    <n v="-0.12"/>
    <s v="High Discount"/>
  </r>
  <r>
    <s v="ORD-76"/>
    <x v="69"/>
    <d v="2024-11-01T00:00:00"/>
    <s v="Same Day"/>
    <s v="CU-764"/>
    <s v="Sunil Kumar"/>
    <x v="2"/>
    <s v="India"/>
    <x v="3"/>
    <x v="0"/>
    <x v="0"/>
    <x v="2"/>
    <s v="Paper"/>
    <x v="3"/>
    <n v="51701"/>
    <x v="2"/>
    <n v="0"/>
    <x v="75"/>
    <n v="0"/>
    <n v="0.18"/>
    <s v="Low Discount"/>
  </r>
  <r>
    <s v="ORD-77"/>
    <x v="23"/>
    <d v="2024-08-22T00:00:00"/>
    <s v="Same Day"/>
    <s v="CU-400"/>
    <s v="Arjun Malhotra"/>
    <x v="1"/>
    <s v="India"/>
    <x v="2"/>
    <x v="4"/>
    <x v="0"/>
    <x v="1"/>
    <s v="Mobile"/>
    <x v="3"/>
    <n v="38460"/>
    <x v="2"/>
    <n v="0.05"/>
    <x v="76"/>
    <n v="1"/>
    <n v="0.13"/>
    <s v="Low Discount"/>
  </r>
  <r>
    <s v="ORD-78"/>
    <x v="70"/>
    <d v="2024-07-21T00:00:00"/>
    <s v="Same Day"/>
    <s v="CU-175"/>
    <s v="Sunil Kumar"/>
    <x v="1"/>
    <s v="India"/>
    <x v="1"/>
    <x v="3"/>
    <x v="2"/>
    <x v="0"/>
    <s v="Laptop"/>
    <x v="2"/>
    <n v="42512"/>
    <x v="5"/>
    <n v="0.1"/>
    <x v="77"/>
    <n v="0"/>
    <n v="7.9999999999999988E-2"/>
    <s v="Low Discount"/>
  </r>
  <r>
    <s v="ORD-79"/>
    <x v="71"/>
    <d v="2024-02-10T00:00:00"/>
    <s v="Same Day"/>
    <s v="CU-299"/>
    <s v="Rahul Sharma"/>
    <x v="2"/>
    <s v="India"/>
    <x v="2"/>
    <x v="3"/>
    <x v="1"/>
    <x v="1"/>
    <s v="Chair"/>
    <x v="2"/>
    <n v="31325"/>
    <x v="8"/>
    <n v="0"/>
    <x v="78"/>
    <n v="1"/>
    <n v="0.18"/>
    <s v="Low Discount"/>
  </r>
  <r>
    <s v="ORD-80"/>
    <x v="72"/>
    <d v="2024-11-22T00:00:00"/>
    <s v="Standard Class"/>
    <s v="CU-411"/>
    <s v="Arjun Malhotra"/>
    <x v="0"/>
    <s v="India"/>
    <x v="0"/>
    <x v="4"/>
    <x v="5"/>
    <x v="1"/>
    <s v="Laptop"/>
    <x v="0"/>
    <n v="54361"/>
    <x v="0"/>
    <n v="0.3"/>
    <x v="79"/>
    <n v="2"/>
    <n v="-0.12"/>
    <s v="High Discount"/>
  </r>
  <r>
    <s v="ORD-81"/>
    <x v="73"/>
    <d v="2025-01-03T00:00:00"/>
    <s v="Standard Class"/>
    <s v="CU-510"/>
    <s v="Rahul Sharma"/>
    <x v="2"/>
    <s v="India"/>
    <x v="3"/>
    <x v="3"/>
    <x v="4"/>
    <x v="1"/>
    <s v="Laptop"/>
    <x v="4"/>
    <n v="1104"/>
    <x v="0"/>
    <n v="0.2"/>
    <x v="80"/>
    <n v="4"/>
    <n v="-2.0000000000000018E-2"/>
    <s v="High Discount"/>
  </r>
  <r>
    <s v="ORD-82"/>
    <x v="74"/>
    <d v="2024-12-21T00:00:00"/>
    <s v="Same Day"/>
    <s v="CU-236"/>
    <s v="Neha Gupta"/>
    <x v="0"/>
    <s v="India"/>
    <x v="0"/>
    <x v="4"/>
    <x v="0"/>
    <x v="2"/>
    <s v="Mobile"/>
    <x v="1"/>
    <n v="8171"/>
    <x v="5"/>
    <n v="0"/>
    <x v="81"/>
    <n v="0"/>
    <n v="0.18"/>
    <s v="Low Discount"/>
  </r>
  <r>
    <s v="ORD-83"/>
    <x v="75"/>
    <d v="2024-03-09T00:00:00"/>
    <s v="Second Class"/>
    <s v="CU-418"/>
    <s v="Ravi Mehta"/>
    <x v="1"/>
    <s v="India"/>
    <x v="1"/>
    <x v="5"/>
    <x v="5"/>
    <x v="0"/>
    <s v="Paper"/>
    <x v="5"/>
    <n v="4311"/>
    <x v="8"/>
    <n v="0.2"/>
    <x v="82"/>
    <n v="3"/>
    <n v="-2.0000000000000018E-2"/>
    <s v="High Discount"/>
  </r>
  <r>
    <s v="ORD-84"/>
    <x v="76"/>
    <d v="2024-06-26T00:00:00"/>
    <s v="Standard Class"/>
    <s v="CU-796"/>
    <s v="Pooja Yadav"/>
    <x v="0"/>
    <s v="India"/>
    <x v="1"/>
    <x v="4"/>
    <x v="3"/>
    <x v="1"/>
    <s v="Chair"/>
    <x v="5"/>
    <n v="47113"/>
    <x v="9"/>
    <n v="0.1"/>
    <x v="83"/>
    <n v="0"/>
    <n v="7.9999999999999988E-2"/>
    <s v="Low Discount"/>
  </r>
  <r>
    <s v="ORD-85"/>
    <x v="77"/>
    <d v="2024-10-10T00:00:00"/>
    <s v="Second Class"/>
    <s v="CU-404"/>
    <s v="Arjun Malhotra"/>
    <x v="1"/>
    <s v="India"/>
    <x v="2"/>
    <x v="2"/>
    <x v="2"/>
    <x v="2"/>
    <s v="Mobile"/>
    <x v="1"/>
    <n v="13527"/>
    <x v="2"/>
    <n v="0.3"/>
    <x v="84"/>
    <n v="5"/>
    <n v="-0.12"/>
    <s v="High Discount"/>
  </r>
  <r>
    <s v="ORD-86"/>
    <x v="78"/>
    <d v="2024-03-15T00:00:00"/>
    <s v="Standard Class"/>
    <s v="CU-474"/>
    <s v="Ravi Mehta"/>
    <x v="0"/>
    <s v="India"/>
    <x v="0"/>
    <x v="3"/>
    <x v="3"/>
    <x v="0"/>
    <s v="Mobile"/>
    <x v="0"/>
    <n v="30053"/>
    <x v="9"/>
    <n v="0.2"/>
    <x v="85"/>
    <n v="4"/>
    <n v="-2.0000000000000018E-2"/>
    <s v="High Discount"/>
  </r>
  <r>
    <s v="ORD-87"/>
    <x v="79"/>
    <d v="2024-04-02T00:00:00"/>
    <s v="Same Day"/>
    <s v="CU-721"/>
    <s v="Ravi Mehta"/>
    <x v="2"/>
    <s v="India"/>
    <x v="0"/>
    <x v="5"/>
    <x v="1"/>
    <x v="2"/>
    <s v="Chair"/>
    <x v="2"/>
    <n v="55504"/>
    <x v="5"/>
    <n v="0.1"/>
    <x v="86"/>
    <n v="1"/>
    <n v="0.08"/>
    <s v="Low Discount"/>
  </r>
  <r>
    <s v="ORD-88"/>
    <x v="80"/>
    <d v="2024-03-19T00:00:00"/>
    <s v="Standard Class"/>
    <s v="CU-758"/>
    <s v="Priya Singh"/>
    <x v="1"/>
    <s v="India"/>
    <x v="1"/>
    <x v="0"/>
    <x v="4"/>
    <x v="0"/>
    <s v="Chair"/>
    <x v="1"/>
    <n v="26097"/>
    <x v="4"/>
    <n v="0"/>
    <x v="87"/>
    <n v="1"/>
    <n v="0.18"/>
    <s v="Low Discount"/>
  </r>
  <r>
    <s v="ORD-89"/>
    <x v="81"/>
    <d v="2024-02-09T00:00:00"/>
    <s v="Second Class"/>
    <s v="CU-280"/>
    <s v="Amit Verma"/>
    <x v="2"/>
    <s v="India"/>
    <x v="0"/>
    <x v="0"/>
    <x v="4"/>
    <x v="0"/>
    <s v="Table"/>
    <x v="2"/>
    <n v="30376"/>
    <x v="3"/>
    <n v="0.05"/>
    <x v="88"/>
    <n v="5"/>
    <n v="0.13"/>
    <s v="Low Discount"/>
  </r>
  <r>
    <s v="ORD-90"/>
    <x v="82"/>
    <d v="2024-07-27T00:00:00"/>
    <s v="Standard Class"/>
    <s v="CU-379"/>
    <s v="Arjun Malhotra"/>
    <x v="1"/>
    <s v="India"/>
    <x v="2"/>
    <x v="5"/>
    <x v="2"/>
    <x v="2"/>
    <s v="Paper"/>
    <x v="2"/>
    <n v="38500"/>
    <x v="1"/>
    <n v="0.1"/>
    <x v="89"/>
    <n v="3"/>
    <n v="7.9999999999999988E-2"/>
    <s v="Low Discount"/>
  </r>
  <r>
    <s v="ORD-91"/>
    <x v="83"/>
    <d v="2024-06-18T00:00:00"/>
    <s v="Same Day"/>
    <s v="CU-646"/>
    <s v="Pooja Yadav"/>
    <x v="1"/>
    <s v="India"/>
    <x v="1"/>
    <x v="1"/>
    <x v="3"/>
    <x v="2"/>
    <s v="Mobile"/>
    <x v="2"/>
    <n v="17874"/>
    <x v="2"/>
    <n v="0.3"/>
    <x v="90"/>
    <n v="1"/>
    <n v="-0.12000000000000001"/>
    <s v="High Discount"/>
  </r>
  <r>
    <s v="ORD-92"/>
    <x v="84"/>
    <d v="2024-08-31T00:00:00"/>
    <s v="Standard Class"/>
    <s v="CU-545"/>
    <s v="Ravi Mehta"/>
    <x v="1"/>
    <s v="India"/>
    <x v="1"/>
    <x v="3"/>
    <x v="2"/>
    <x v="2"/>
    <s v="Table"/>
    <x v="0"/>
    <n v="58534"/>
    <x v="3"/>
    <n v="0.2"/>
    <x v="91"/>
    <n v="0"/>
    <n v="-2.0000000000000018E-2"/>
    <s v="High Discount"/>
  </r>
  <r>
    <s v="ORD-93"/>
    <x v="85"/>
    <d v="2024-04-21T00:00:00"/>
    <s v="Same Day"/>
    <s v="CU-895"/>
    <s v="Neha Gupta"/>
    <x v="0"/>
    <s v="India"/>
    <x v="3"/>
    <x v="0"/>
    <x v="4"/>
    <x v="0"/>
    <s v="Paper"/>
    <x v="5"/>
    <n v="11754"/>
    <x v="8"/>
    <n v="0.1"/>
    <x v="92"/>
    <n v="1"/>
    <n v="7.9999999999999988E-2"/>
    <s v="Low Discount"/>
  </r>
  <r>
    <s v="ORD-94"/>
    <x v="86"/>
    <d v="2024-05-07T00:00:00"/>
    <s v="Same Day"/>
    <s v="CU-272"/>
    <s v="Sunil Kumar"/>
    <x v="0"/>
    <s v="India"/>
    <x v="0"/>
    <x v="4"/>
    <x v="3"/>
    <x v="1"/>
    <s v="Paper"/>
    <x v="4"/>
    <n v="37015"/>
    <x v="2"/>
    <n v="0.3"/>
    <x v="93"/>
    <n v="0"/>
    <n v="-0.12000000000000001"/>
    <s v="High Discount"/>
  </r>
  <r>
    <s v="ORD-95"/>
    <x v="87"/>
    <d v="2024-08-11T00:00:00"/>
    <s v="Second Class"/>
    <s v="CU-410"/>
    <s v="Priya Singh"/>
    <x v="2"/>
    <s v="India"/>
    <x v="2"/>
    <x v="5"/>
    <x v="4"/>
    <x v="1"/>
    <s v="Chair"/>
    <x v="3"/>
    <n v="57912"/>
    <x v="5"/>
    <n v="0.1"/>
    <x v="94"/>
    <n v="1"/>
    <n v="7.9999999999999988E-2"/>
    <s v="Low Discount"/>
  </r>
  <r>
    <s v="ORD-96"/>
    <x v="79"/>
    <d v="2024-04-03T00:00:00"/>
    <s v="Standard Class"/>
    <s v="CU-624"/>
    <s v="Neha Gupta"/>
    <x v="2"/>
    <s v="India"/>
    <x v="0"/>
    <x v="2"/>
    <x v="5"/>
    <x v="1"/>
    <s v="Laptop"/>
    <x v="3"/>
    <n v="56471"/>
    <x v="3"/>
    <n v="0"/>
    <x v="95"/>
    <n v="2"/>
    <n v="0.17999999999999997"/>
    <s v="Low Discount"/>
  </r>
  <r>
    <s v="ORD-97"/>
    <x v="46"/>
    <d v="2024-10-15T00:00:00"/>
    <s v="Second Class"/>
    <s v="CU-957"/>
    <s v="Rahul Sharma"/>
    <x v="1"/>
    <s v="India"/>
    <x v="1"/>
    <x v="1"/>
    <x v="4"/>
    <x v="2"/>
    <s v="Chair"/>
    <x v="0"/>
    <n v="2684"/>
    <x v="1"/>
    <n v="0.2"/>
    <x v="96"/>
    <n v="3"/>
    <n v="-2.0000000000000018E-2"/>
    <s v="High Discount"/>
  </r>
  <r>
    <s v="ORD-98"/>
    <x v="88"/>
    <d v="2024-05-22T00:00:00"/>
    <s v="Second Class"/>
    <s v="CU-613"/>
    <s v="Pooja Yadav"/>
    <x v="0"/>
    <s v="India"/>
    <x v="3"/>
    <x v="1"/>
    <x v="2"/>
    <x v="1"/>
    <s v="Table"/>
    <x v="0"/>
    <n v="17935"/>
    <x v="0"/>
    <n v="0.05"/>
    <x v="97"/>
    <n v="0"/>
    <n v="0.13"/>
    <s v="Low Discount"/>
  </r>
  <r>
    <s v="ORD-99"/>
    <x v="89"/>
    <d v="2024-11-02T00:00:00"/>
    <s v="Standard Class"/>
    <s v="CU-340"/>
    <s v="Arjun Malhotra"/>
    <x v="0"/>
    <s v="India"/>
    <x v="1"/>
    <x v="5"/>
    <x v="2"/>
    <x v="1"/>
    <s v="Laptop"/>
    <x v="5"/>
    <n v="37495"/>
    <x v="8"/>
    <n v="0.2"/>
    <x v="98"/>
    <n v="2"/>
    <n v="-2.0000000000000018E-2"/>
    <s v="High Discount"/>
  </r>
  <r>
    <s v="ORD-100"/>
    <x v="23"/>
    <d v="2024-08-25T00:00:00"/>
    <s v="Same Day"/>
    <s v="CU-795"/>
    <s v="Rahul Sharma"/>
    <x v="0"/>
    <s v="India"/>
    <x v="3"/>
    <x v="0"/>
    <x v="2"/>
    <x v="1"/>
    <s v="Mobile"/>
    <x v="2"/>
    <n v="41604"/>
    <x v="5"/>
    <n v="0.05"/>
    <x v="99"/>
    <n v="4"/>
    <n v="0.13"/>
    <s v="Low Discount"/>
  </r>
  <r>
    <s v="ORD-101"/>
    <x v="90"/>
    <d v="2024-10-25T00:00:00"/>
    <s v="Second Class"/>
    <s v="CU-539"/>
    <s v="Ravi Mehta"/>
    <x v="2"/>
    <s v="India"/>
    <x v="0"/>
    <x v="4"/>
    <x v="2"/>
    <x v="1"/>
    <s v="Mobile"/>
    <x v="0"/>
    <n v="26694"/>
    <x v="1"/>
    <n v="0"/>
    <x v="100"/>
    <n v="0"/>
    <n v="0.18"/>
    <s v="Low Discount"/>
  </r>
  <r>
    <s v="ORD-102"/>
    <x v="91"/>
    <d v="2024-05-02T00:00:00"/>
    <s v="Same Day"/>
    <s v="CU-343"/>
    <s v="Arjun Malhotra"/>
    <x v="1"/>
    <s v="India"/>
    <x v="2"/>
    <x v="4"/>
    <x v="4"/>
    <x v="2"/>
    <s v="Paper"/>
    <x v="5"/>
    <n v="6746"/>
    <x v="4"/>
    <n v="0.05"/>
    <x v="101"/>
    <n v="3"/>
    <n v="0.13"/>
    <s v="Low Discount"/>
  </r>
  <r>
    <s v="ORD-103"/>
    <x v="92"/>
    <d v="2024-11-29T00:00:00"/>
    <s v="Second Class"/>
    <s v="CU-328"/>
    <s v="Rahul Sharma"/>
    <x v="2"/>
    <s v="India"/>
    <x v="2"/>
    <x v="5"/>
    <x v="4"/>
    <x v="1"/>
    <s v="Chair"/>
    <x v="3"/>
    <n v="17968"/>
    <x v="0"/>
    <n v="0.1"/>
    <x v="102"/>
    <n v="2"/>
    <n v="7.9999999999999988E-2"/>
    <s v="Low Discount"/>
  </r>
  <r>
    <s v="ORD-104"/>
    <x v="93"/>
    <d v="2024-01-23T00:00:00"/>
    <s v="Second Class"/>
    <s v="CU-415"/>
    <s v="Rahul Sharma"/>
    <x v="0"/>
    <s v="India"/>
    <x v="2"/>
    <x v="2"/>
    <x v="4"/>
    <x v="2"/>
    <s v="Laptop"/>
    <x v="1"/>
    <n v="36816"/>
    <x v="5"/>
    <n v="0.3"/>
    <x v="103"/>
    <n v="1"/>
    <n v="-0.12"/>
    <s v="High Discount"/>
  </r>
  <r>
    <s v="ORD-105"/>
    <x v="51"/>
    <d v="2025-01-03T00:00:00"/>
    <s v="Second Class"/>
    <s v="CU-943"/>
    <s v="Rahul Sharma"/>
    <x v="0"/>
    <s v="India"/>
    <x v="3"/>
    <x v="0"/>
    <x v="3"/>
    <x v="2"/>
    <s v="Table"/>
    <x v="0"/>
    <n v="48968"/>
    <x v="0"/>
    <n v="0.2"/>
    <x v="104"/>
    <n v="3"/>
    <n v="-2.0000000000000018E-2"/>
    <s v="High Discount"/>
  </r>
  <r>
    <s v="ORD-106"/>
    <x v="94"/>
    <d v="2024-01-10T00:00:00"/>
    <s v="Second Class"/>
    <s v="CU-932"/>
    <s v="Sunil Kumar"/>
    <x v="2"/>
    <s v="India"/>
    <x v="2"/>
    <x v="2"/>
    <x v="0"/>
    <x v="0"/>
    <s v="Table"/>
    <x v="0"/>
    <n v="6337"/>
    <x v="6"/>
    <n v="0.05"/>
    <x v="105"/>
    <n v="2"/>
    <n v="0.13"/>
    <s v="Low Discount"/>
  </r>
  <r>
    <s v="ORD-107"/>
    <x v="28"/>
    <d v="2024-04-08T00:00:00"/>
    <s v="Same Day"/>
    <s v="CU-716"/>
    <s v="Amit Verma"/>
    <x v="2"/>
    <s v="India"/>
    <x v="0"/>
    <x v="3"/>
    <x v="0"/>
    <x v="2"/>
    <s v="Laptop"/>
    <x v="5"/>
    <n v="4777"/>
    <x v="2"/>
    <n v="0.3"/>
    <x v="106"/>
    <n v="5"/>
    <n v="-0.12"/>
    <s v="High Discount"/>
  </r>
  <r>
    <s v="ORD-108"/>
    <x v="95"/>
    <d v="2024-04-09T00:00:00"/>
    <s v="Same Day"/>
    <s v="CU-916"/>
    <s v="Neha Gupta"/>
    <x v="0"/>
    <s v="India"/>
    <x v="0"/>
    <x v="2"/>
    <x v="2"/>
    <x v="1"/>
    <s v="Mobile"/>
    <x v="0"/>
    <n v="16107"/>
    <x v="1"/>
    <n v="0.05"/>
    <x v="107"/>
    <n v="3"/>
    <n v="0.13"/>
    <s v="Low Discount"/>
  </r>
  <r>
    <s v="ORD-109"/>
    <x v="96"/>
    <d v="2024-08-31T00:00:00"/>
    <s v="Same Day"/>
    <s v="CU-805"/>
    <s v="Neha Gupta"/>
    <x v="0"/>
    <s v="India"/>
    <x v="2"/>
    <x v="0"/>
    <x v="0"/>
    <x v="1"/>
    <s v="Laptop"/>
    <x v="0"/>
    <n v="6742"/>
    <x v="4"/>
    <n v="0.2"/>
    <x v="108"/>
    <n v="1"/>
    <n v="-2.0000000000000018E-2"/>
    <s v="High Discount"/>
  </r>
  <r>
    <s v="ORD-110"/>
    <x v="76"/>
    <d v="2024-06-29T00:00:00"/>
    <s v="Second Class"/>
    <s v="CU-297"/>
    <s v="Amit Verma"/>
    <x v="2"/>
    <s v="India"/>
    <x v="2"/>
    <x v="3"/>
    <x v="0"/>
    <x v="0"/>
    <s v="Chair"/>
    <x v="3"/>
    <n v="12004"/>
    <x v="8"/>
    <n v="0.3"/>
    <x v="109"/>
    <n v="3"/>
    <n v="-0.12"/>
    <s v="High Discount"/>
  </r>
  <r>
    <s v="ORD-111"/>
    <x v="97"/>
    <d v="2024-06-16T00:00:00"/>
    <s v="Standard Class"/>
    <s v="CU-681"/>
    <s v="Rahul Sharma"/>
    <x v="2"/>
    <s v="India"/>
    <x v="1"/>
    <x v="5"/>
    <x v="4"/>
    <x v="0"/>
    <s v="Paper"/>
    <x v="5"/>
    <n v="46598"/>
    <x v="2"/>
    <n v="0.3"/>
    <x v="110"/>
    <n v="4"/>
    <n v="-0.12000000000000001"/>
    <s v="High Discount"/>
  </r>
  <r>
    <s v="ORD-112"/>
    <x v="98"/>
    <d v="2024-04-24T00:00:00"/>
    <s v="Same Day"/>
    <s v="CU-420"/>
    <s v="Arjun Malhotra"/>
    <x v="0"/>
    <s v="India"/>
    <x v="2"/>
    <x v="4"/>
    <x v="2"/>
    <x v="1"/>
    <s v="Laptop"/>
    <x v="0"/>
    <n v="58633"/>
    <x v="6"/>
    <n v="0.1"/>
    <x v="111"/>
    <n v="5"/>
    <n v="7.9999999999999988E-2"/>
    <s v="Low Discount"/>
  </r>
  <r>
    <s v="ORD-113"/>
    <x v="99"/>
    <d v="2024-07-28T00:00:00"/>
    <s v="Same Day"/>
    <s v="CU-765"/>
    <s v="Amit Verma"/>
    <x v="2"/>
    <s v="India"/>
    <x v="1"/>
    <x v="5"/>
    <x v="4"/>
    <x v="0"/>
    <s v="Mobile"/>
    <x v="5"/>
    <n v="17629"/>
    <x v="7"/>
    <n v="0.1"/>
    <x v="112"/>
    <n v="3"/>
    <n v="7.9999999999999988E-2"/>
    <s v="Low Discount"/>
  </r>
  <r>
    <s v="ORD-114"/>
    <x v="100"/>
    <d v="2024-10-23T00:00:00"/>
    <s v="Standard Class"/>
    <s v="CU-812"/>
    <s v="Ravi Mehta"/>
    <x v="1"/>
    <s v="India"/>
    <x v="0"/>
    <x v="2"/>
    <x v="3"/>
    <x v="0"/>
    <s v="Chair"/>
    <x v="3"/>
    <n v="8742"/>
    <x v="5"/>
    <n v="0.2"/>
    <x v="113"/>
    <n v="0"/>
    <n v="-2.0000000000000018E-2"/>
    <s v="High Discount"/>
  </r>
  <r>
    <s v="ORD-115"/>
    <x v="101"/>
    <d v="2024-09-05T00:00:00"/>
    <s v="Same Day"/>
    <s v="CU-775"/>
    <s v="Sunil Kumar"/>
    <x v="1"/>
    <s v="India"/>
    <x v="2"/>
    <x v="5"/>
    <x v="5"/>
    <x v="0"/>
    <s v="Table"/>
    <x v="1"/>
    <n v="26846"/>
    <x v="1"/>
    <n v="0.1"/>
    <x v="114"/>
    <n v="0"/>
    <n v="7.9999999999999988E-2"/>
    <s v="Low Discount"/>
  </r>
  <r>
    <s v="ORD-116"/>
    <x v="8"/>
    <d v="2024-06-28T00:00:00"/>
    <s v="Standard Class"/>
    <s v="CU-708"/>
    <s v="Ravi Mehta"/>
    <x v="1"/>
    <s v="India"/>
    <x v="3"/>
    <x v="5"/>
    <x v="3"/>
    <x v="1"/>
    <s v="Mobile"/>
    <x v="1"/>
    <n v="31375"/>
    <x v="3"/>
    <n v="0.2"/>
    <x v="115"/>
    <n v="3"/>
    <n v="-2.0000000000000018E-2"/>
    <s v="High Discount"/>
  </r>
  <r>
    <s v="ORD-117"/>
    <x v="102"/>
    <d v="2024-12-17T00:00:00"/>
    <s v="Same Day"/>
    <s v="CU-385"/>
    <s v="Rahul Sharma"/>
    <x v="2"/>
    <s v="India"/>
    <x v="1"/>
    <x v="3"/>
    <x v="0"/>
    <x v="0"/>
    <s v="Chair"/>
    <x v="0"/>
    <n v="51581"/>
    <x v="7"/>
    <n v="0"/>
    <x v="116"/>
    <n v="1"/>
    <n v="0.18"/>
    <s v="Low Discount"/>
  </r>
  <r>
    <s v="ORD-118"/>
    <x v="84"/>
    <d v="2024-09-04T00:00:00"/>
    <s v="Same Day"/>
    <s v="CU-198"/>
    <s v="Rahul Sharma"/>
    <x v="1"/>
    <s v="India"/>
    <x v="1"/>
    <x v="5"/>
    <x v="3"/>
    <x v="1"/>
    <s v="Laptop"/>
    <x v="3"/>
    <n v="8954"/>
    <x v="1"/>
    <n v="0.3"/>
    <x v="117"/>
    <n v="4"/>
    <n v="-0.12"/>
    <s v="High Discount"/>
  </r>
  <r>
    <s v="ORD-119"/>
    <x v="0"/>
    <d v="2024-02-19T00:00:00"/>
    <s v="Same Day"/>
    <s v="CU-412"/>
    <s v="Ravi Mehta"/>
    <x v="2"/>
    <s v="India"/>
    <x v="0"/>
    <x v="5"/>
    <x v="1"/>
    <x v="1"/>
    <s v="Chair"/>
    <x v="1"/>
    <n v="4723"/>
    <x v="2"/>
    <n v="0.3"/>
    <x v="118"/>
    <n v="4"/>
    <n v="-0.12"/>
    <s v="High Discount"/>
  </r>
  <r>
    <s v="ORD-120"/>
    <x v="103"/>
    <d v="2024-06-07T00:00:00"/>
    <s v="Second Class"/>
    <s v="CU-233"/>
    <s v="Rahul Sharma"/>
    <x v="0"/>
    <s v="India"/>
    <x v="3"/>
    <x v="0"/>
    <x v="5"/>
    <x v="0"/>
    <s v="Table"/>
    <x v="2"/>
    <n v="45923"/>
    <x v="9"/>
    <n v="0.3"/>
    <x v="119"/>
    <n v="0"/>
    <n v="-0.12000000000000001"/>
    <s v="High Discount"/>
  </r>
  <r>
    <s v="ORD-121"/>
    <x v="104"/>
    <d v="2024-08-31T00:00:00"/>
    <s v="Second Class"/>
    <s v="CU-957"/>
    <s v="Ravi Mehta"/>
    <x v="2"/>
    <s v="India"/>
    <x v="3"/>
    <x v="1"/>
    <x v="3"/>
    <x v="2"/>
    <s v="Table"/>
    <x v="4"/>
    <n v="23730"/>
    <x v="1"/>
    <n v="0.2"/>
    <x v="120"/>
    <n v="5"/>
    <n v="-2.0000000000000018E-2"/>
    <s v="High Discount"/>
  </r>
  <r>
    <s v="ORD-122"/>
    <x v="105"/>
    <d v="2024-05-31T00:00:00"/>
    <s v="Standard Class"/>
    <s v="CU-600"/>
    <s v="Pooja Yadav"/>
    <x v="2"/>
    <s v="India"/>
    <x v="1"/>
    <x v="1"/>
    <x v="4"/>
    <x v="2"/>
    <s v="Laptop"/>
    <x v="2"/>
    <n v="32051"/>
    <x v="6"/>
    <n v="0.1"/>
    <x v="121"/>
    <n v="2"/>
    <n v="7.9999999999999988E-2"/>
    <s v="Low Discount"/>
  </r>
  <r>
    <s v="ORD-123"/>
    <x v="106"/>
    <d v="2024-08-02T00:00:00"/>
    <s v="Same Day"/>
    <s v="CU-162"/>
    <s v="Ravi Mehta"/>
    <x v="1"/>
    <s v="India"/>
    <x v="0"/>
    <x v="5"/>
    <x v="5"/>
    <x v="0"/>
    <s v="Laptop"/>
    <x v="0"/>
    <n v="52757"/>
    <x v="6"/>
    <n v="0"/>
    <x v="122"/>
    <n v="5"/>
    <n v="0.18"/>
    <s v="Low Discount"/>
  </r>
  <r>
    <s v="ORD-124"/>
    <x v="107"/>
    <d v="2024-12-19T00:00:00"/>
    <s v="Second Class"/>
    <s v="CU-347"/>
    <s v="Sunil Kumar"/>
    <x v="2"/>
    <s v="India"/>
    <x v="0"/>
    <x v="5"/>
    <x v="3"/>
    <x v="0"/>
    <s v="Table"/>
    <x v="1"/>
    <n v="52589"/>
    <x v="0"/>
    <n v="0.3"/>
    <x v="123"/>
    <n v="0"/>
    <n v="-0.11999999999999998"/>
    <s v="High Discount"/>
  </r>
  <r>
    <s v="ORD-125"/>
    <x v="108"/>
    <d v="2024-09-09T00:00:00"/>
    <s v="Second Class"/>
    <s v="CU-843"/>
    <s v="Ravi Mehta"/>
    <x v="1"/>
    <s v="India"/>
    <x v="2"/>
    <x v="3"/>
    <x v="0"/>
    <x v="0"/>
    <s v="Paper"/>
    <x v="2"/>
    <n v="2685"/>
    <x v="5"/>
    <n v="0.2"/>
    <x v="124"/>
    <n v="0"/>
    <n v="-2.0000000000000018E-2"/>
    <s v="High Discount"/>
  </r>
  <r>
    <s v="ORD-126"/>
    <x v="109"/>
    <d v="2024-10-23T00:00:00"/>
    <s v="Same Day"/>
    <s v="CU-726"/>
    <s v="Amit Verma"/>
    <x v="2"/>
    <s v="India"/>
    <x v="2"/>
    <x v="3"/>
    <x v="1"/>
    <x v="2"/>
    <s v="Chair"/>
    <x v="4"/>
    <n v="44835"/>
    <x v="6"/>
    <n v="0"/>
    <x v="125"/>
    <n v="2"/>
    <n v="0.18"/>
    <s v="Low Discount"/>
  </r>
  <r>
    <s v="ORD-127"/>
    <x v="110"/>
    <d v="2024-09-30T00:00:00"/>
    <s v="Standard Class"/>
    <s v="CU-368"/>
    <s v="Rahul Sharma"/>
    <x v="2"/>
    <s v="India"/>
    <x v="0"/>
    <x v="4"/>
    <x v="5"/>
    <x v="1"/>
    <s v="Chair"/>
    <x v="3"/>
    <n v="3220"/>
    <x v="0"/>
    <n v="0.1"/>
    <x v="126"/>
    <n v="2"/>
    <n v="7.9999999999999988E-2"/>
    <s v="Low Discount"/>
  </r>
  <r>
    <s v="ORD-128"/>
    <x v="111"/>
    <d v="2024-07-01T00:00:00"/>
    <s v="Standard Class"/>
    <s v="CU-755"/>
    <s v="Amit Verma"/>
    <x v="0"/>
    <s v="India"/>
    <x v="1"/>
    <x v="2"/>
    <x v="1"/>
    <x v="0"/>
    <s v="Paper"/>
    <x v="2"/>
    <n v="44590"/>
    <x v="5"/>
    <n v="0"/>
    <x v="127"/>
    <n v="0"/>
    <n v="0.18"/>
    <s v="Low Discount"/>
  </r>
  <r>
    <s v="ORD-129"/>
    <x v="112"/>
    <d v="2024-01-04T00:00:00"/>
    <s v="Standard Class"/>
    <s v="CU-862"/>
    <s v="Rahul Sharma"/>
    <x v="0"/>
    <s v="India"/>
    <x v="2"/>
    <x v="1"/>
    <x v="1"/>
    <x v="2"/>
    <s v="Paper"/>
    <x v="1"/>
    <n v="18501"/>
    <x v="2"/>
    <n v="0.05"/>
    <x v="128"/>
    <n v="2"/>
    <n v="0.13"/>
    <s v="Low Discount"/>
  </r>
  <r>
    <s v="ORD-130"/>
    <x v="66"/>
    <d v="2024-11-29T00:00:00"/>
    <s v="Same Day"/>
    <s v="CU-894"/>
    <s v="Amit Verma"/>
    <x v="1"/>
    <s v="India"/>
    <x v="1"/>
    <x v="1"/>
    <x v="3"/>
    <x v="0"/>
    <s v="Table"/>
    <x v="1"/>
    <n v="19221"/>
    <x v="4"/>
    <n v="0.3"/>
    <x v="129"/>
    <n v="3"/>
    <n v="-0.12"/>
    <s v="High Discount"/>
  </r>
  <r>
    <s v="ORD-131"/>
    <x v="59"/>
    <d v="2024-07-26T00:00:00"/>
    <s v="Standard Class"/>
    <s v="CU-971"/>
    <s v="Priya Singh"/>
    <x v="2"/>
    <s v="India"/>
    <x v="1"/>
    <x v="3"/>
    <x v="0"/>
    <x v="1"/>
    <s v="Paper"/>
    <x v="5"/>
    <n v="1339"/>
    <x v="5"/>
    <n v="0"/>
    <x v="130"/>
    <n v="0"/>
    <n v="0.18"/>
    <s v="Low Discount"/>
  </r>
  <r>
    <s v="ORD-132"/>
    <x v="110"/>
    <d v="2024-09-30T00:00:00"/>
    <s v="Same Day"/>
    <s v="CU-614"/>
    <s v="Ravi Mehta"/>
    <x v="2"/>
    <s v="India"/>
    <x v="3"/>
    <x v="0"/>
    <x v="2"/>
    <x v="2"/>
    <s v="Chair"/>
    <x v="1"/>
    <n v="34192"/>
    <x v="9"/>
    <n v="0.05"/>
    <x v="131"/>
    <n v="2"/>
    <n v="0.13"/>
    <s v="Low Discount"/>
  </r>
  <r>
    <s v="ORD-133"/>
    <x v="56"/>
    <d v="2024-05-27T00:00:00"/>
    <s v="Same Day"/>
    <s v="CU-407"/>
    <s v="Neha Gupta"/>
    <x v="2"/>
    <s v="India"/>
    <x v="1"/>
    <x v="3"/>
    <x v="0"/>
    <x v="2"/>
    <s v="Chair"/>
    <x v="5"/>
    <n v="11501"/>
    <x v="7"/>
    <n v="0"/>
    <x v="132"/>
    <n v="3"/>
    <n v="0.18"/>
    <s v="Low Discount"/>
  </r>
  <r>
    <s v="ORD-134"/>
    <x v="71"/>
    <d v="2024-02-14T00:00:00"/>
    <s v="Same Day"/>
    <s v="CU-954"/>
    <s v="Pooja Yadav"/>
    <x v="0"/>
    <s v="India"/>
    <x v="3"/>
    <x v="5"/>
    <x v="2"/>
    <x v="0"/>
    <s v="Laptop"/>
    <x v="0"/>
    <n v="29861"/>
    <x v="3"/>
    <n v="0.05"/>
    <x v="133"/>
    <n v="5"/>
    <n v="0.13"/>
    <s v="Low Discount"/>
  </r>
  <r>
    <s v="ORD-135"/>
    <x v="113"/>
    <d v="2024-11-11T00:00:00"/>
    <s v="Standard Class"/>
    <s v="CU-466"/>
    <s v="Neha Gupta"/>
    <x v="0"/>
    <s v="India"/>
    <x v="1"/>
    <x v="3"/>
    <x v="4"/>
    <x v="2"/>
    <s v="Chair"/>
    <x v="1"/>
    <n v="532"/>
    <x v="8"/>
    <n v="0"/>
    <x v="134"/>
    <n v="1"/>
    <n v="0.18"/>
    <s v="Low Discount"/>
  </r>
  <r>
    <s v="ORD-136"/>
    <x v="114"/>
    <d v="2024-10-05T00:00:00"/>
    <s v="Standard Class"/>
    <s v="CU-378"/>
    <s v="Priya Singh"/>
    <x v="1"/>
    <s v="India"/>
    <x v="0"/>
    <x v="5"/>
    <x v="3"/>
    <x v="2"/>
    <s v="Chair"/>
    <x v="0"/>
    <n v="42047"/>
    <x v="6"/>
    <n v="0.2"/>
    <x v="135"/>
    <n v="4"/>
    <n v="-2.0000000000000018E-2"/>
    <s v="High Discount"/>
  </r>
  <r>
    <s v="ORD-137"/>
    <x v="23"/>
    <d v="2024-08-22T00:00:00"/>
    <s v="Standard Class"/>
    <s v="CU-243"/>
    <s v="Amit Verma"/>
    <x v="2"/>
    <s v="India"/>
    <x v="3"/>
    <x v="4"/>
    <x v="4"/>
    <x v="1"/>
    <s v="Table"/>
    <x v="4"/>
    <n v="4049"/>
    <x v="6"/>
    <n v="0.2"/>
    <x v="136"/>
    <n v="1"/>
    <n v="-2.0000000000000018E-2"/>
    <s v="High Discount"/>
  </r>
  <r>
    <s v="ORD-138"/>
    <x v="115"/>
    <d v="2024-02-25T00:00:00"/>
    <s v="Second Class"/>
    <s v="CU-678"/>
    <s v="Priya Singh"/>
    <x v="0"/>
    <s v="India"/>
    <x v="0"/>
    <x v="3"/>
    <x v="5"/>
    <x v="0"/>
    <s v="Laptop"/>
    <x v="3"/>
    <n v="49110"/>
    <x v="3"/>
    <n v="0.3"/>
    <x v="137"/>
    <n v="2"/>
    <n v="-0.12"/>
    <s v="High Discount"/>
  </r>
  <r>
    <s v="ORD-139"/>
    <x v="116"/>
    <d v="2024-02-20T00:00:00"/>
    <s v="Standard Class"/>
    <s v="CU-328"/>
    <s v="Amit Verma"/>
    <x v="0"/>
    <s v="India"/>
    <x v="3"/>
    <x v="0"/>
    <x v="1"/>
    <x v="2"/>
    <s v="Table"/>
    <x v="5"/>
    <n v="26697"/>
    <x v="7"/>
    <n v="0.3"/>
    <x v="138"/>
    <n v="2"/>
    <n v="-0.12"/>
    <s v="High Discount"/>
  </r>
  <r>
    <s v="ORD-140"/>
    <x v="117"/>
    <d v="2024-11-14T00:00:00"/>
    <s v="Same Day"/>
    <s v="CU-147"/>
    <s v="Arjun Malhotra"/>
    <x v="1"/>
    <s v="India"/>
    <x v="0"/>
    <x v="5"/>
    <x v="1"/>
    <x v="0"/>
    <s v="Laptop"/>
    <x v="1"/>
    <n v="32443"/>
    <x v="4"/>
    <n v="0.05"/>
    <x v="139"/>
    <n v="1"/>
    <n v="0.13"/>
    <s v="Low Discount"/>
  </r>
  <r>
    <s v="ORD-141"/>
    <x v="118"/>
    <d v="2024-10-08T00:00:00"/>
    <s v="Second Class"/>
    <s v="CU-971"/>
    <s v="Neha Gupta"/>
    <x v="2"/>
    <s v="India"/>
    <x v="3"/>
    <x v="4"/>
    <x v="0"/>
    <x v="1"/>
    <s v="Laptop"/>
    <x v="0"/>
    <n v="13201"/>
    <x v="2"/>
    <n v="0.3"/>
    <x v="140"/>
    <n v="5"/>
    <n v="-0.12"/>
    <s v="High Discount"/>
  </r>
  <r>
    <s v="ORD-142"/>
    <x v="0"/>
    <d v="2024-02-19T00:00:00"/>
    <s v="Same Day"/>
    <s v="CU-808"/>
    <s v="Arjun Malhotra"/>
    <x v="1"/>
    <s v="India"/>
    <x v="0"/>
    <x v="0"/>
    <x v="2"/>
    <x v="0"/>
    <s v="Laptop"/>
    <x v="5"/>
    <n v="10402"/>
    <x v="2"/>
    <n v="0.05"/>
    <x v="141"/>
    <n v="4"/>
    <n v="0.13"/>
    <s v="Low Discount"/>
  </r>
  <r>
    <s v="ORD-143"/>
    <x v="119"/>
    <d v="2024-12-09T00:00:00"/>
    <s v="Same Day"/>
    <s v="CU-484"/>
    <s v="Amit Verma"/>
    <x v="2"/>
    <s v="India"/>
    <x v="3"/>
    <x v="2"/>
    <x v="3"/>
    <x v="2"/>
    <s v="Table"/>
    <x v="5"/>
    <n v="5602"/>
    <x v="0"/>
    <n v="0.05"/>
    <x v="142"/>
    <n v="0"/>
    <n v="0.13"/>
    <s v="Low Discount"/>
  </r>
  <r>
    <s v="ORD-144"/>
    <x v="120"/>
    <d v="2024-05-10T00:00:00"/>
    <s v="Second Class"/>
    <s v="CU-573"/>
    <s v="Priya Singh"/>
    <x v="2"/>
    <s v="India"/>
    <x v="3"/>
    <x v="5"/>
    <x v="5"/>
    <x v="2"/>
    <s v="Paper"/>
    <x v="3"/>
    <n v="42316"/>
    <x v="2"/>
    <n v="0.1"/>
    <x v="143"/>
    <n v="1"/>
    <n v="7.9999999999999988E-2"/>
    <s v="Low Discount"/>
  </r>
  <r>
    <s v="ORD-145"/>
    <x v="121"/>
    <d v="2024-01-16T00:00:00"/>
    <s v="Second Class"/>
    <s v="CU-435"/>
    <s v="Pooja Yadav"/>
    <x v="2"/>
    <s v="India"/>
    <x v="3"/>
    <x v="4"/>
    <x v="0"/>
    <x v="0"/>
    <s v="Table"/>
    <x v="2"/>
    <n v="5455"/>
    <x v="5"/>
    <n v="0.3"/>
    <x v="144"/>
    <n v="5"/>
    <n v="-0.12000000000000001"/>
    <s v="High Discount"/>
  </r>
  <r>
    <s v="ORD-146"/>
    <x v="122"/>
    <d v="2024-01-24T00:00:00"/>
    <s v="Second Class"/>
    <s v="CU-774"/>
    <s v="Arjun Malhotra"/>
    <x v="0"/>
    <s v="India"/>
    <x v="2"/>
    <x v="1"/>
    <x v="5"/>
    <x v="1"/>
    <s v="Paper"/>
    <x v="0"/>
    <n v="14741"/>
    <x v="1"/>
    <n v="0"/>
    <x v="145"/>
    <n v="1"/>
    <n v="0.18000000000000002"/>
    <s v="Low Discount"/>
  </r>
  <r>
    <s v="ORD-147"/>
    <x v="123"/>
    <d v="2024-01-07T00:00:00"/>
    <s v="Standard Class"/>
    <s v="CU-175"/>
    <s v="Rahul Sharma"/>
    <x v="1"/>
    <s v="India"/>
    <x v="0"/>
    <x v="5"/>
    <x v="5"/>
    <x v="0"/>
    <s v="Laptop"/>
    <x v="3"/>
    <n v="32549"/>
    <x v="6"/>
    <n v="0.3"/>
    <x v="146"/>
    <n v="4"/>
    <n v="-0.12"/>
    <s v="High Discount"/>
  </r>
  <r>
    <s v="ORD-148"/>
    <x v="124"/>
    <d v="2024-05-26T00:00:00"/>
    <s v="Second Class"/>
    <s v="CU-516"/>
    <s v="Rahul Sharma"/>
    <x v="1"/>
    <s v="India"/>
    <x v="1"/>
    <x v="2"/>
    <x v="5"/>
    <x v="0"/>
    <s v="Mobile"/>
    <x v="1"/>
    <n v="578"/>
    <x v="5"/>
    <n v="0.05"/>
    <x v="147"/>
    <n v="0"/>
    <n v="0.13"/>
    <s v="Low Discount"/>
  </r>
  <r>
    <s v="ORD-149"/>
    <x v="97"/>
    <d v="2024-06-12T00:00:00"/>
    <s v="Standard Class"/>
    <s v="CU-608"/>
    <s v="Priya Singh"/>
    <x v="0"/>
    <s v="India"/>
    <x v="3"/>
    <x v="2"/>
    <x v="1"/>
    <x v="1"/>
    <s v="Paper"/>
    <x v="5"/>
    <n v="20283"/>
    <x v="5"/>
    <n v="0.1"/>
    <x v="148"/>
    <n v="0"/>
    <n v="7.9999999999999988E-2"/>
    <s v="Low Discount"/>
  </r>
  <r>
    <s v="ORD-150"/>
    <x v="125"/>
    <d v="2024-09-20T00:00:00"/>
    <s v="Standard Class"/>
    <s v="CU-158"/>
    <s v="Pooja Yadav"/>
    <x v="1"/>
    <s v="India"/>
    <x v="1"/>
    <x v="0"/>
    <x v="1"/>
    <x v="2"/>
    <s v="Paper"/>
    <x v="3"/>
    <n v="59812"/>
    <x v="8"/>
    <n v="0"/>
    <x v="149"/>
    <n v="3"/>
    <n v="0.18"/>
    <s v="Low Discount"/>
  </r>
  <r>
    <s v="ORD-151"/>
    <x v="15"/>
    <d v="2024-02-22T00:00:00"/>
    <s v="Second Class"/>
    <s v="CU-740"/>
    <s v="Sunil Kumar"/>
    <x v="2"/>
    <s v="India"/>
    <x v="3"/>
    <x v="2"/>
    <x v="1"/>
    <x v="1"/>
    <s v="Mobile"/>
    <x v="2"/>
    <n v="10298"/>
    <x v="4"/>
    <n v="0.05"/>
    <x v="150"/>
    <n v="5"/>
    <n v="0.13"/>
    <s v="Low Discount"/>
  </r>
  <r>
    <s v="ORD-152"/>
    <x v="126"/>
    <d v="2024-02-22T00:00:00"/>
    <s v="Second Class"/>
    <s v="CU-426"/>
    <s v="Neha Gupta"/>
    <x v="2"/>
    <s v="India"/>
    <x v="0"/>
    <x v="2"/>
    <x v="0"/>
    <x v="2"/>
    <s v="Chair"/>
    <x v="1"/>
    <n v="45932"/>
    <x v="2"/>
    <n v="0.3"/>
    <x v="151"/>
    <n v="2"/>
    <n v="-0.12000000000000001"/>
    <s v="High Discount"/>
  </r>
  <r>
    <s v="ORD-153"/>
    <x v="3"/>
    <d v="2024-08-07T00:00:00"/>
    <s v="Standard Class"/>
    <s v="CU-118"/>
    <s v="Pooja Yadav"/>
    <x v="2"/>
    <s v="India"/>
    <x v="1"/>
    <x v="0"/>
    <x v="3"/>
    <x v="2"/>
    <s v="Laptop"/>
    <x v="2"/>
    <n v="44497"/>
    <x v="2"/>
    <n v="0.1"/>
    <x v="152"/>
    <n v="1"/>
    <n v="7.9999999999999988E-2"/>
    <s v="Low Discount"/>
  </r>
  <r>
    <s v="ORD-154"/>
    <x v="2"/>
    <d v="2024-09-12T00:00:00"/>
    <s v="Second Class"/>
    <s v="CU-166"/>
    <s v="Ravi Mehta"/>
    <x v="2"/>
    <s v="India"/>
    <x v="0"/>
    <x v="1"/>
    <x v="0"/>
    <x v="1"/>
    <s v="Chair"/>
    <x v="0"/>
    <n v="15129"/>
    <x v="6"/>
    <n v="0.3"/>
    <x v="153"/>
    <n v="0"/>
    <n v="-0.12"/>
    <s v="High Discount"/>
  </r>
  <r>
    <s v="ORD-155"/>
    <x v="127"/>
    <d v="2024-11-27T00:00:00"/>
    <s v="Second Class"/>
    <s v="CU-580"/>
    <s v="Priya Singh"/>
    <x v="0"/>
    <s v="India"/>
    <x v="2"/>
    <x v="1"/>
    <x v="4"/>
    <x v="1"/>
    <s v="Mobile"/>
    <x v="2"/>
    <n v="55671"/>
    <x v="2"/>
    <n v="0"/>
    <x v="154"/>
    <n v="3"/>
    <n v="0.17999999999999997"/>
    <s v="Low Discount"/>
  </r>
  <r>
    <s v="ORD-156"/>
    <x v="75"/>
    <d v="2024-03-09T00:00:00"/>
    <s v="Same Day"/>
    <s v="CU-767"/>
    <s v="Sunil Kumar"/>
    <x v="2"/>
    <s v="India"/>
    <x v="2"/>
    <x v="4"/>
    <x v="1"/>
    <x v="0"/>
    <s v="Mobile"/>
    <x v="2"/>
    <n v="16909"/>
    <x v="7"/>
    <n v="0.05"/>
    <x v="155"/>
    <n v="3"/>
    <n v="0.13"/>
    <s v="Low Discount"/>
  </r>
  <r>
    <s v="ORD-157"/>
    <x v="90"/>
    <d v="2024-10-28T00:00:00"/>
    <s v="Second Class"/>
    <s v="CU-204"/>
    <s v="Neha Gupta"/>
    <x v="2"/>
    <s v="India"/>
    <x v="2"/>
    <x v="4"/>
    <x v="1"/>
    <x v="2"/>
    <s v="Table"/>
    <x v="5"/>
    <n v="9611"/>
    <x v="9"/>
    <n v="0.05"/>
    <x v="156"/>
    <n v="3"/>
    <n v="0.13"/>
    <s v="Low Discount"/>
  </r>
  <r>
    <s v="ORD-158"/>
    <x v="128"/>
    <d v="2024-01-28T00:00:00"/>
    <s v="Standard Class"/>
    <s v="CU-755"/>
    <s v="Rahul Sharma"/>
    <x v="0"/>
    <s v="India"/>
    <x v="0"/>
    <x v="2"/>
    <x v="5"/>
    <x v="2"/>
    <s v="Laptop"/>
    <x v="3"/>
    <n v="5279"/>
    <x v="1"/>
    <n v="0.3"/>
    <x v="157"/>
    <n v="2"/>
    <n v="-0.12000000000000001"/>
    <s v="High Discount"/>
  </r>
  <r>
    <s v="ORD-159"/>
    <x v="127"/>
    <d v="2024-11-29T00:00:00"/>
    <s v="Standard Class"/>
    <s v="CU-659"/>
    <s v="Sunil Kumar"/>
    <x v="1"/>
    <s v="India"/>
    <x v="1"/>
    <x v="0"/>
    <x v="3"/>
    <x v="0"/>
    <s v="Paper"/>
    <x v="0"/>
    <n v="24473"/>
    <x v="5"/>
    <n v="0.1"/>
    <x v="158"/>
    <n v="5"/>
    <n v="7.9999999999999988E-2"/>
    <s v="Low Discount"/>
  </r>
  <r>
    <s v="ORD-160"/>
    <x v="20"/>
    <d v="2024-09-12T00:00:00"/>
    <s v="Same Day"/>
    <s v="CU-462"/>
    <s v="Rahul Sharma"/>
    <x v="0"/>
    <s v="India"/>
    <x v="0"/>
    <x v="0"/>
    <x v="1"/>
    <x v="2"/>
    <s v="Laptop"/>
    <x v="4"/>
    <n v="25044"/>
    <x v="4"/>
    <n v="0.3"/>
    <x v="159"/>
    <n v="2"/>
    <n v="-0.12"/>
    <s v="High Discount"/>
  </r>
  <r>
    <s v="ORD-161"/>
    <x v="129"/>
    <d v="2024-08-30T00:00:00"/>
    <s v="Second Class"/>
    <s v="CU-403"/>
    <s v="Neha Gupta"/>
    <x v="2"/>
    <s v="India"/>
    <x v="3"/>
    <x v="4"/>
    <x v="1"/>
    <x v="2"/>
    <s v="Mobile"/>
    <x v="0"/>
    <n v="19875"/>
    <x v="2"/>
    <n v="0.05"/>
    <x v="160"/>
    <n v="2"/>
    <n v="0.13"/>
    <s v="Low Discount"/>
  </r>
  <r>
    <s v="ORD-162"/>
    <x v="69"/>
    <d v="2024-11-05T00:00:00"/>
    <s v="Second Class"/>
    <s v="CU-720"/>
    <s v="Priya Singh"/>
    <x v="0"/>
    <s v="India"/>
    <x v="0"/>
    <x v="5"/>
    <x v="4"/>
    <x v="1"/>
    <s v="Paper"/>
    <x v="5"/>
    <n v="48941"/>
    <x v="8"/>
    <n v="0.2"/>
    <x v="161"/>
    <n v="4"/>
    <n v="-2.0000000000000018E-2"/>
    <s v="High Discount"/>
  </r>
  <r>
    <s v="ORD-163"/>
    <x v="130"/>
    <d v="2024-03-04T00:00:00"/>
    <s v="Standard Class"/>
    <s v="CU-273"/>
    <s v="Neha Gupta"/>
    <x v="0"/>
    <s v="India"/>
    <x v="0"/>
    <x v="3"/>
    <x v="5"/>
    <x v="1"/>
    <s v="Laptop"/>
    <x v="1"/>
    <n v="28179"/>
    <x v="9"/>
    <n v="0.05"/>
    <x v="162"/>
    <n v="4"/>
    <n v="0.13"/>
    <s v="Low Discount"/>
  </r>
  <r>
    <s v="ORD-164"/>
    <x v="131"/>
    <d v="2024-11-21T00:00:00"/>
    <s v="Standard Class"/>
    <s v="CU-153"/>
    <s v="Sunil Kumar"/>
    <x v="0"/>
    <s v="India"/>
    <x v="1"/>
    <x v="5"/>
    <x v="3"/>
    <x v="2"/>
    <s v="Laptop"/>
    <x v="2"/>
    <n v="3396"/>
    <x v="0"/>
    <n v="0.1"/>
    <x v="163"/>
    <n v="0"/>
    <n v="7.9999999999999988E-2"/>
    <s v="Low Discount"/>
  </r>
  <r>
    <s v="ORD-165"/>
    <x v="103"/>
    <d v="2024-06-09T00:00:00"/>
    <s v="Same Day"/>
    <s v="CU-210"/>
    <s v="Neha Gupta"/>
    <x v="1"/>
    <s v="India"/>
    <x v="1"/>
    <x v="0"/>
    <x v="4"/>
    <x v="0"/>
    <s v="Chair"/>
    <x v="0"/>
    <n v="34097"/>
    <x v="9"/>
    <n v="0.05"/>
    <x v="164"/>
    <n v="2"/>
    <n v="0.13"/>
    <s v="Low Discount"/>
  </r>
  <r>
    <s v="ORD-166"/>
    <x v="71"/>
    <d v="2024-02-09T00:00:00"/>
    <s v="Same Day"/>
    <s v="CU-874"/>
    <s v="Priya Singh"/>
    <x v="1"/>
    <s v="India"/>
    <x v="2"/>
    <x v="5"/>
    <x v="4"/>
    <x v="2"/>
    <s v="Paper"/>
    <x v="1"/>
    <n v="56520"/>
    <x v="2"/>
    <n v="0.3"/>
    <x v="165"/>
    <n v="0"/>
    <n v="-0.12"/>
    <s v="High Discount"/>
  </r>
  <r>
    <s v="ORD-167"/>
    <x v="61"/>
    <d v="2024-04-30T00:00:00"/>
    <s v="Same Day"/>
    <s v="CU-725"/>
    <s v="Arjun Malhotra"/>
    <x v="1"/>
    <s v="India"/>
    <x v="3"/>
    <x v="1"/>
    <x v="4"/>
    <x v="1"/>
    <s v="Chair"/>
    <x v="4"/>
    <n v="549"/>
    <x v="0"/>
    <n v="0"/>
    <x v="166"/>
    <n v="4"/>
    <n v="0.18"/>
    <s v="Low Discount"/>
  </r>
  <r>
    <s v="ORD-168"/>
    <x v="132"/>
    <d v="2024-10-10T00:00:00"/>
    <s v="Same Day"/>
    <s v="CU-210"/>
    <s v="Priya Singh"/>
    <x v="0"/>
    <s v="India"/>
    <x v="0"/>
    <x v="1"/>
    <x v="0"/>
    <x v="1"/>
    <s v="Mobile"/>
    <x v="1"/>
    <n v="13999"/>
    <x v="4"/>
    <n v="0.05"/>
    <x v="167"/>
    <n v="2"/>
    <n v="0.13"/>
    <s v="Low Discount"/>
  </r>
  <r>
    <s v="ORD-169"/>
    <x v="133"/>
    <d v="2024-04-23T00:00:00"/>
    <s v="Second Class"/>
    <s v="CU-583"/>
    <s v="Priya Singh"/>
    <x v="2"/>
    <s v="India"/>
    <x v="1"/>
    <x v="3"/>
    <x v="5"/>
    <x v="1"/>
    <s v="Table"/>
    <x v="2"/>
    <n v="10455"/>
    <x v="1"/>
    <n v="0.3"/>
    <x v="168"/>
    <n v="2"/>
    <n v="-0.12"/>
    <s v="High Discount"/>
  </r>
  <r>
    <s v="ORD-170"/>
    <x v="134"/>
    <d v="2024-12-24T00:00:00"/>
    <s v="Same Day"/>
    <s v="CU-461"/>
    <s v="Arjun Malhotra"/>
    <x v="0"/>
    <s v="India"/>
    <x v="1"/>
    <x v="1"/>
    <x v="0"/>
    <x v="1"/>
    <s v="Paper"/>
    <x v="5"/>
    <n v="1016"/>
    <x v="6"/>
    <n v="0.2"/>
    <x v="169"/>
    <n v="4"/>
    <n v="-2.0000000000000018E-2"/>
    <s v="High Discount"/>
  </r>
  <r>
    <s v="ORD-171"/>
    <x v="37"/>
    <d v="2024-07-20T00:00:00"/>
    <s v="Second Class"/>
    <s v="CU-979"/>
    <s v="Ravi Mehta"/>
    <x v="2"/>
    <s v="India"/>
    <x v="0"/>
    <x v="3"/>
    <x v="0"/>
    <x v="2"/>
    <s v="Mobile"/>
    <x v="4"/>
    <n v="5997"/>
    <x v="9"/>
    <n v="0.1"/>
    <x v="170"/>
    <n v="0"/>
    <n v="7.9999999999999988E-2"/>
    <s v="Low Discount"/>
  </r>
  <r>
    <s v="ORD-172"/>
    <x v="135"/>
    <d v="2024-07-05T00:00:00"/>
    <s v="Standard Class"/>
    <s v="CU-719"/>
    <s v="Sunil Kumar"/>
    <x v="0"/>
    <s v="India"/>
    <x v="1"/>
    <x v="2"/>
    <x v="3"/>
    <x v="2"/>
    <s v="Laptop"/>
    <x v="3"/>
    <n v="36995"/>
    <x v="3"/>
    <n v="0.2"/>
    <x v="171"/>
    <n v="0"/>
    <n v="-2.0000000000000018E-2"/>
    <s v="High Discount"/>
  </r>
  <r>
    <s v="ORD-173"/>
    <x v="136"/>
    <d v="2024-06-11T00:00:00"/>
    <s v="Standard Class"/>
    <s v="CU-150"/>
    <s v="Sunil Kumar"/>
    <x v="0"/>
    <s v="India"/>
    <x v="3"/>
    <x v="3"/>
    <x v="1"/>
    <x v="2"/>
    <s v="Table"/>
    <x v="5"/>
    <n v="32618"/>
    <x v="2"/>
    <n v="0.3"/>
    <x v="172"/>
    <n v="0"/>
    <n v="-0.12"/>
    <s v="High Discount"/>
  </r>
  <r>
    <s v="ORD-174"/>
    <x v="73"/>
    <d v="2025-01-01T00:00:00"/>
    <s v="Second Class"/>
    <s v="CU-643"/>
    <s v="Arjun Malhotra"/>
    <x v="1"/>
    <s v="India"/>
    <x v="3"/>
    <x v="4"/>
    <x v="1"/>
    <x v="2"/>
    <s v="Table"/>
    <x v="3"/>
    <n v="49512"/>
    <x v="2"/>
    <n v="0.2"/>
    <x v="173"/>
    <n v="2"/>
    <n v="-2.0000000000000018E-2"/>
    <s v="High Discount"/>
  </r>
  <r>
    <s v="ORD-175"/>
    <x v="137"/>
    <d v="2024-07-09T00:00:00"/>
    <s v="Same Day"/>
    <s v="CU-607"/>
    <s v="Amit Verma"/>
    <x v="2"/>
    <s v="India"/>
    <x v="3"/>
    <x v="1"/>
    <x v="0"/>
    <x v="2"/>
    <s v="Table"/>
    <x v="2"/>
    <n v="13199"/>
    <x v="9"/>
    <n v="0.2"/>
    <x v="174"/>
    <n v="3"/>
    <n v="-2.0000000000000018E-2"/>
    <s v="High Discount"/>
  </r>
  <r>
    <s v="ORD-176"/>
    <x v="138"/>
    <d v="2024-09-30T00:00:00"/>
    <s v="Same Day"/>
    <s v="CU-392"/>
    <s v="Priya Singh"/>
    <x v="0"/>
    <s v="India"/>
    <x v="2"/>
    <x v="0"/>
    <x v="1"/>
    <x v="0"/>
    <s v="Laptop"/>
    <x v="5"/>
    <n v="7890"/>
    <x v="4"/>
    <n v="0.05"/>
    <x v="175"/>
    <n v="3"/>
    <n v="0.13"/>
    <s v="Low Discount"/>
  </r>
  <r>
    <s v="ORD-177"/>
    <x v="113"/>
    <d v="2024-11-13T00:00:00"/>
    <s v="Standard Class"/>
    <s v="CU-928"/>
    <s v="Arjun Malhotra"/>
    <x v="2"/>
    <s v="India"/>
    <x v="2"/>
    <x v="2"/>
    <x v="3"/>
    <x v="1"/>
    <s v="Laptop"/>
    <x v="5"/>
    <n v="49518"/>
    <x v="1"/>
    <n v="0.3"/>
    <x v="176"/>
    <n v="3"/>
    <n v="-0.12"/>
    <s v="High Discount"/>
  </r>
  <r>
    <s v="ORD-178"/>
    <x v="139"/>
    <d v="2024-10-10T00:00:00"/>
    <s v="Standard Class"/>
    <s v="CU-515"/>
    <s v="Neha Gupta"/>
    <x v="2"/>
    <s v="India"/>
    <x v="3"/>
    <x v="2"/>
    <x v="0"/>
    <x v="1"/>
    <s v="Laptop"/>
    <x v="4"/>
    <n v="57802"/>
    <x v="3"/>
    <n v="0"/>
    <x v="177"/>
    <n v="3"/>
    <n v="0.17999999999999997"/>
    <s v="Low Discount"/>
  </r>
  <r>
    <s v="ORD-179"/>
    <x v="50"/>
    <d v="2024-05-19T00:00:00"/>
    <s v="Second Class"/>
    <s v="CU-926"/>
    <s v="Neha Gupta"/>
    <x v="0"/>
    <s v="India"/>
    <x v="3"/>
    <x v="4"/>
    <x v="2"/>
    <x v="0"/>
    <s v="Chair"/>
    <x v="5"/>
    <n v="40001"/>
    <x v="2"/>
    <n v="0.2"/>
    <x v="178"/>
    <n v="5"/>
    <n v="-2.0000000000000018E-2"/>
    <s v="High Discount"/>
  </r>
  <r>
    <s v="ORD-180"/>
    <x v="140"/>
    <d v="2024-02-01T00:00:00"/>
    <s v="Standard Class"/>
    <s v="CU-102"/>
    <s v="Arjun Malhotra"/>
    <x v="1"/>
    <s v="India"/>
    <x v="0"/>
    <x v="4"/>
    <x v="4"/>
    <x v="0"/>
    <s v="Mobile"/>
    <x v="5"/>
    <n v="25115"/>
    <x v="3"/>
    <n v="0"/>
    <x v="179"/>
    <n v="3"/>
    <n v="0.18"/>
    <s v="Low Discount"/>
  </r>
  <r>
    <s v="ORD-181"/>
    <x v="134"/>
    <d v="2024-12-23T00:00:00"/>
    <s v="Same Day"/>
    <s v="CU-338"/>
    <s v="Amit Verma"/>
    <x v="1"/>
    <s v="India"/>
    <x v="3"/>
    <x v="0"/>
    <x v="5"/>
    <x v="2"/>
    <s v="Chair"/>
    <x v="5"/>
    <n v="2035"/>
    <x v="2"/>
    <n v="0.05"/>
    <x v="180"/>
    <n v="3"/>
    <n v="0.13"/>
    <s v="Low Discount"/>
  </r>
  <r>
    <s v="ORD-182"/>
    <x v="90"/>
    <d v="2024-10-30T00:00:00"/>
    <s v="Standard Class"/>
    <s v="CU-900"/>
    <s v="Pooja Yadav"/>
    <x v="0"/>
    <s v="India"/>
    <x v="2"/>
    <x v="1"/>
    <x v="3"/>
    <x v="1"/>
    <s v="Table"/>
    <x v="4"/>
    <n v="28112"/>
    <x v="2"/>
    <n v="0.2"/>
    <x v="181"/>
    <n v="5"/>
    <n v="-2.0000000000000018E-2"/>
    <s v="High Discount"/>
  </r>
  <r>
    <s v="ORD-183"/>
    <x v="141"/>
    <d v="2024-05-04T00:00:00"/>
    <s v="Same Day"/>
    <s v="CU-493"/>
    <s v="Sunil Kumar"/>
    <x v="0"/>
    <s v="India"/>
    <x v="1"/>
    <x v="4"/>
    <x v="0"/>
    <x v="0"/>
    <s v="Chair"/>
    <x v="4"/>
    <n v="49421"/>
    <x v="3"/>
    <n v="0"/>
    <x v="182"/>
    <n v="1"/>
    <n v="0.17999999999999997"/>
    <s v="Low Discount"/>
  </r>
  <r>
    <s v="ORD-184"/>
    <x v="142"/>
    <d v="2024-08-29T00:00:00"/>
    <s v="Same Day"/>
    <s v="CU-903"/>
    <s v="Ravi Mehta"/>
    <x v="1"/>
    <s v="India"/>
    <x v="2"/>
    <x v="5"/>
    <x v="1"/>
    <x v="2"/>
    <s v="Mobile"/>
    <x v="3"/>
    <n v="46986"/>
    <x v="9"/>
    <n v="0.3"/>
    <x v="183"/>
    <n v="4"/>
    <n v="-0.12"/>
    <s v="High Discount"/>
  </r>
  <r>
    <s v="ORD-185"/>
    <x v="143"/>
    <d v="2024-08-04T00:00:00"/>
    <s v="Same Day"/>
    <s v="CU-405"/>
    <s v="Amit Verma"/>
    <x v="2"/>
    <s v="India"/>
    <x v="0"/>
    <x v="0"/>
    <x v="0"/>
    <x v="2"/>
    <s v="Laptop"/>
    <x v="5"/>
    <n v="23161"/>
    <x v="6"/>
    <n v="0.1"/>
    <x v="184"/>
    <n v="1"/>
    <n v="7.9999999999999988E-2"/>
    <s v="Low Discount"/>
  </r>
  <r>
    <s v="ORD-186"/>
    <x v="15"/>
    <d v="2024-02-19T00:00:00"/>
    <s v="Same Day"/>
    <s v="CU-211"/>
    <s v="Pooja Yadav"/>
    <x v="1"/>
    <s v="India"/>
    <x v="3"/>
    <x v="3"/>
    <x v="0"/>
    <x v="0"/>
    <s v="Table"/>
    <x v="1"/>
    <n v="16666"/>
    <x v="7"/>
    <n v="0.2"/>
    <x v="185"/>
    <n v="2"/>
    <n v="-2.0000000000000018E-2"/>
    <s v="High Discount"/>
  </r>
  <r>
    <s v="ORD-187"/>
    <x v="103"/>
    <d v="2024-06-09T00:00:00"/>
    <s v="Standard Class"/>
    <s v="CU-537"/>
    <s v="Amit Verma"/>
    <x v="0"/>
    <s v="India"/>
    <x v="1"/>
    <x v="1"/>
    <x v="5"/>
    <x v="1"/>
    <s v="Table"/>
    <x v="2"/>
    <n v="5507"/>
    <x v="7"/>
    <n v="0.3"/>
    <x v="186"/>
    <n v="2"/>
    <n v="-0.12000000000000001"/>
    <s v="High Discount"/>
  </r>
  <r>
    <s v="ORD-188"/>
    <x v="144"/>
    <d v="2024-11-18T00:00:00"/>
    <s v="Standard Class"/>
    <s v="CU-941"/>
    <s v="Rahul Sharma"/>
    <x v="0"/>
    <s v="India"/>
    <x v="0"/>
    <x v="0"/>
    <x v="1"/>
    <x v="1"/>
    <s v="Mobile"/>
    <x v="1"/>
    <n v="24468"/>
    <x v="3"/>
    <n v="0.1"/>
    <x v="187"/>
    <n v="3"/>
    <n v="7.9999999999999988E-2"/>
    <s v="Low Discount"/>
  </r>
  <r>
    <s v="ORD-189"/>
    <x v="145"/>
    <d v="2024-01-30T00:00:00"/>
    <s v="Same Day"/>
    <s v="CU-468"/>
    <s v="Arjun Malhotra"/>
    <x v="2"/>
    <s v="India"/>
    <x v="0"/>
    <x v="4"/>
    <x v="3"/>
    <x v="0"/>
    <s v="Laptop"/>
    <x v="4"/>
    <n v="33836"/>
    <x v="5"/>
    <n v="0.1"/>
    <x v="188"/>
    <n v="5"/>
    <n v="7.9999999999999988E-2"/>
    <s v="Low Discount"/>
  </r>
  <r>
    <s v="ORD-190"/>
    <x v="5"/>
    <d v="2024-05-20T00:00:00"/>
    <s v="Standard Class"/>
    <s v="CU-647"/>
    <s v="Sunil Kumar"/>
    <x v="0"/>
    <s v="India"/>
    <x v="0"/>
    <x v="2"/>
    <x v="5"/>
    <x v="2"/>
    <s v="Mobile"/>
    <x v="0"/>
    <n v="42221"/>
    <x v="0"/>
    <n v="0.05"/>
    <x v="189"/>
    <n v="0"/>
    <n v="0.13"/>
    <s v="Low Discount"/>
  </r>
  <r>
    <s v="ORD-191"/>
    <x v="0"/>
    <d v="2024-02-20T00:00:00"/>
    <s v="Standard Class"/>
    <s v="CU-287"/>
    <s v="Rahul Sharma"/>
    <x v="2"/>
    <s v="India"/>
    <x v="0"/>
    <x v="1"/>
    <x v="3"/>
    <x v="2"/>
    <s v="Mobile"/>
    <x v="4"/>
    <n v="21939"/>
    <x v="7"/>
    <n v="0"/>
    <x v="190"/>
    <n v="5"/>
    <n v="0.18"/>
    <s v="Low Discount"/>
  </r>
  <r>
    <s v="ORD-192"/>
    <x v="77"/>
    <d v="2024-10-10T00:00:00"/>
    <s v="Standard Class"/>
    <s v="CU-241"/>
    <s v="Neha Gupta"/>
    <x v="0"/>
    <s v="India"/>
    <x v="3"/>
    <x v="3"/>
    <x v="4"/>
    <x v="1"/>
    <s v="Table"/>
    <x v="3"/>
    <n v="44109"/>
    <x v="6"/>
    <n v="0"/>
    <x v="191"/>
    <n v="5"/>
    <n v="0.18"/>
    <s v="Low Discount"/>
  </r>
  <r>
    <s v="ORD-193"/>
    <x v="146"/>
    <d v="2024-01-28T00:00:00"/>
    <s v="Standard Class"/>
    <s v="CU-344"/>
    <s v="Amit Verma"/>
    <x v="1"/>
    <s v="India"/>
    <x v="1"/>
    <x v="1"/>
    <x v="0"/>
    <x v="1"/>
    <s v="Mobile"/>
    <x v="1"/>
    <n v="31534"/>
    <x v="6"/>
    <n v="0"/>
    <x v="192"/>
    <n v="4"/>
    <n v="0.18"/>
    <s v="Low Discount"/>
  </r>
  <r>
    <s v="ORD-194"/>
    <x v="147"/>
    <d v="2024-04-21T00:00:00"/>
    <s v="Second Class"/>
    <s v="CU-907"/>
    <s v="Ravi Mehta"/>
    <x v="2"/>
    <s v="India"/>
    <x v="1"/>
    <x v="4"/>
    <x v="3"/>
    <x v="0"/>
    <s v="Laptop"/>
    <x v="2"/>
    <n v="31529"/>
    <x v="0"/>
    <n v="0"/>
    <x v="193"/>
    <n v="5"/>
    <n v="0.17999999999999997"/>
    <s v="Low Discount"/>
  </r>
  <r>
    <s v="ORD-195"/>
    <x v="148"/>
    <d v="2024-09-24T00:00:00"/>
    <s v="Same Day"/>
    <s v="CU-477"/>
    <s v="Arjun Malhotra"/>
    <x v="1"/>
    <s v="India"/>
    <x v="1"/>
    <x v="1"/>
    <x v="4"/>
    <x v="2"/>
    <s v="Paper"/>
    <x v="4"/>
    <n v="10644"/>
    <x v="5"/>
    <n v="0.05"/>
    <x v="194"/>
    <n v="4"/>
    <n v="0.13"/>
    <s v="Low Discount"/>
  </r>
  <r>
    <s v="ORD-196"/>
    <x v="66"/>
    <d v="2024-11-27T00:00:00"/>
    <s v="Second Class"/>
    <s v="CU-719"/>
    <s v="Neha Gupta"/>
    <x v="0"/>
    <s v="India"/>
    <x v="1"/>
    <x v="0"/>
    <x v="4"/>
    <x v="2"/>
    <s v="Paper"/>
    <x v="3"/>
    <n v="32469"/>
    <x v="7"/>
    <n v="0"/>
    <x v="195"/>
    <n v="1"/>
    <n v="0.18"/>
    <s v="Low Discount"/>
  </r>
  <r>
    <s v="ORD-197"/>
    <x v="99"/>
    <d v="2024-07-27T00:00:00"/>
    <s v="Standard Class"/>
    <s v="CU-261"/>
    <s v="Pooja Yadav"/>
    <x v="0"/>
    <s v="India"/>
    <x v="1"/>
    <x v="1"/>
    <x v="3"/>
    <x v="2"/>
    <s v="Laptop"/>
    <x v="1"/>
    <n v="11094"/>
    <x v="6"/>
    <n v="0.3"/>
    <x v="196"/>
    <n v="2"/>
    <n v="-0.12"/>
    <s v="High Discount"/>
  </r>
  <r>
    <s v="ORD-198"/>
    <x v="149"/>
    <d v="2024-12-28T00:00:00"/>
    <s v="Second Class"/>
    <s v="CU-444"/>
    <s v="Neha Gupta"/>
    <x v="0"/>
    <s v="India"/>
    <x v="0"/>
    <x v="0"/>
    <x v="1"/>
    <x v="0"/>
    <s v="Table"/>
    <x v="2"/>
    <n v="26061"/>
    <x v="0"/>
    <n v="0.05"/>
    <x v="197"/>
    <n v="0"/>
    <n v="0.13"/>
    <s v="Low Discount"/>
  </r>
  <r>
    <s v="ORD-199"/>
    <x v="150"/>
    <d v="2024-04-19T00:00:00"/>
    <s v="Second Class"/>
    <s v="CU-612"/>
    <s v="Arjun Malhotra"/>
    <x v="2"/>
    <s v="India"/>
    <x v="0"/>
    <x v="5"/>
    <x v="1"/>
    <x v="1"/>
    <s v="Mobile"/>
    <x v="1"/>
    <n v="41429"/>
    <x v="8"/>
    <n v="0"/>
    <x v="198"/>
    <n v="5"/>
    <n v="0.18"/>
    <s v="Low Discount"/>
  </r>
  <r>
    <s v="ORD-200"/>
    <x v="1"/>
    <d v="2024-05-27T00:00:00"/>
    <s v="Standard Class"/>
    <s v="CU-496"/>
    <s v="Pooja Yadav"/>
    <x v="1"/>
    <s v="India"/>
    <x v="0"/>
    <x v="5"/>
    <x v="5"/>
    <x v="2"/>
    <s v="Laptop"/>
    <x v="3"/>
    <n v="23558"/>
    <x v="3"/>
    <n v="0.2"/>
    <x v="199"/>
    <n v="0"/>
    <n v="-2.0000000000000018E-2"/>
    <s v="High Discount"/>
  </r>
  <r>
    <s v="ORD-201"/>
    <x v="151"/>
    <d v="2024-05-13T00:00:00"/>
    <s v="Second Class"/>
    <s v="CU-694"/>
    <s v="Arjun Malhotra"/>
    <x v="1"/>
    <s v="India"/>
    <x v="2"/>
    <x v="1"/>
    <x v="5"/>
    <x v="1"/>
    <s v="Chair"/>
    <x v="0"/>
    <n v="35528"/>
    <x v="4"/>
    <n v="0.3"/>
    <x v="200"/>
    <n v="0"/>
    <n v="-0.12"/>
    <s v="High Discount"/>
  </r>
  <r>
    <s v="ORD-202"/>
    <x v="152"/>
    <d v="2024-09-13T00:00:00"/>
    <s v="Second Class"/>
    <s v="CU-420"/>
    <s v="Amit Verma"/>
    <x v="2"/>
    <s v="India"/>
    <x v="3"/>
    <x v="2"/>
    <x v="4"/>
    <x v="2"/>
    <s v="Chair"/>
    <x v="4"/>
    <n v="54650"/>
    <x v="5"/>
    <n v="0.1"/>
    <x v="201"/>
    <n v="2"/>
    <n v="7.9999999999999988E-2"/>
    <s v="Low Discount"/>
  </r>
  <r>
    <s v="ORD-203"/>
    <x v="153"/>
    <d v="2024-09-07T00:00:00"/>
    <s v="Standard Class"/>
    <s v="CU-937"/>
    <s v="Neha Gupta"/>
    <x v="1"/>
    <s v="India"/>
    <x v="1"/>
    <x v="1"/>
    <x v="5"/>
    <x v="1"/>
    <s v="Paper"/>
    <x v="4"/>
    <n v="49096"/>
    <x v="7"/>
    <n v="0.05"/>
    <x v="202"/>
    <n v="1"/>
    <n v="0.13"/>
    <s v="Low Discount"/>
  </r>
  <r>
    <s v="ORD-204"/>
    <x v="115"/>
    <d v="2024-02-28T00:00:00"/>
    <s v="Same Day"/>
    <s v="CU-809"/>
    <s v="Pooja Yadav"/>
    <x v="0"/>
    <s v="India"/>
    <x v="0"/>
    <x v="4"/>
    <x v="1"/>
    <x v="2"/>
    <s v="Chair"/>
    <x v="0"/>
    <n v="26299"/>
    <x v="7"/>
    <n v="0.05"/>
    <x v="203"/>
    <n v="5"/>
    <n v="0.13"/>
    <s v="Low Discount"/>
  </r>
  <r>
    <s v="ORD-205"/>
    <x v="154"/>
    <d v="2024-12-27T00:00:00"/>
    <s v="Same Day"/>
    <s v="CU-967"/>
    <s v="Sunil Kumar"/>
    <x v="1"/>
    <s v="India"/>
    <x v="3"/>
    <x v="1"/>
    <x v="3"/>
    <x v="2"/>
    <s v="Table"/>
    <x v="4"/>
    <n v="12465"/>
    <x v="6"/>
    <n v="0.1"/>
    <x v="204"/>
    <n v="1"/>
    <n v="7.9999999999999988E-2"/>
    <s v="Low Discount"/>
  </r>
  <r>
    <s v="ORD-206"/>
    <x v="155"/>
    <d v="2024-12-05T00:00:00"/>
    <s v="Second Class"/>
    <s v="CU-818"/>
    <s v="Rahul Sharma"/>
    <x v="1"/>
    <s v="India"/>
    <x v="0"/>
    <x v="1"/>
    <x v="3"/>
    <x v="1"/>
    <s v="Table"/>
    <x v="0"/>
    <n v="15419"/>
    <x v="9"/>
    <n v="0.3"/>
    <x v="205"/>
    <n v="4"/>
    <n v="-0.12"/>
    <s v="High Discount"/>
  </r>
  <r>
    <s v="ORD-207"/>
    <x v="156"/>
    <d v="2024-01-14T00:00:00"/>
    <s v="Standard Class"/>
    <s v="CU-202"/>
    <s v="Amit Verma"/>
    <x v="1"/>
    <s v="India"/>
    <x v="2"/>
    <x v="0"/>
    <x v="5"/>
    <x v="2"/>
    <s v="Mobile"/>
    <x v="4"/>
    <n v="4041"/>
    <x v="2"/>
    <n v="0.3"/>
    <x v="206"/>
    <n v="2"/>
    <n v="-0.12"/>
    <s v="High Discount"/>
  </r>
  <r>
    <s v="ORD-208"/>
    <x v="58"/>
    <d v="2024-07-10T00:00:00"/>
    <s v="Second Class"/>
    <s v="CU-346"/>
    <s v="Arjun Malhotra"/>
    <x v="1"/>
    <s v="India"/>
    <x v="0"/>
    <x v="5"/>
    <x v="1"/>
    <x v="0"/>
    <s v="Laptop"/>
    <x v="1"/>
    <n v="21033"/>
    <x v="0"/>
    <n v="0"/>
    <x v="207"/>
    <n v="3"/>
    <n v="0.18"/>
    <s v="Low Discount"/>
  </r>
  <r>
    <s v="ORD-209"/>
    <x v="157"/>
    <d v="2024-12-16T00:00:00"/>
    <s v="Standard Class"/>
    <s v="CU-796"/>
    <s v="Amit Verma"/>
    <x v="2"/>
    <s v="India"/>
    <x v="1"/>
    <x v="4"/>
    <x v="3"/>
    <x v="2"/>
    <s v="Mobile"/>
    <x v="2"/>
    <n v="19974"/>
    <x v="4"/>
    <n v="0.05"/>
    <x v="208"/>
    <n v="1"/>
    <n v="0.13"/>
    <s v="Low Discount"/>
  </r>
  <r>
    <s v="ORD-210"/>
    <x v="158"/>
    <d v="2024-06-03T00:00:00"/>
    <s v="Same Day"/>
    <s v="CU-866"/>
    <s v="Rahul Sharma"/>
    <x v="1"/>
    <s v="India"/>
    <x v="3"/>
    <x v="1"/>
    <x v="5"/>
    <x v="1"/>
    <s v="Chair"/>
    <x v="1"/>
    <n v="34029"/>
    <x v="5"/>
    <n v="0"/>
    <x v="209"/>
    <n v="0"/>
    <n v="0.18"/>
    <s v="Low Discount"/>
  </r>
  <r>
    <s v="ORD-211"/>
    <x v="103"/>
    <d v="2024-06-10T00:00:00"/>
    <s v="Same Day"/>
    <s v="CU-843"/>
    <s v="Rahul Sharma"/>
    <x v="0"/>
    <s v="India"/>
    <x v="3"/>
    <x v="2"/>
    <x v="2"/>
    <x v="2"/>
    <s v="Table"/>
    <x v="0"/>
    <n v="53883"/>
    <x v="1"/>
    <n v="0.1"/>
    <x v="210"/>
    <n v="3"/>
    <n v="7.9999999999999988E-2"/>
    <s v="Low Discount"/>
  </r>
  <r>
    <s v="ORD-212"/>
    <x v="59"/>
    <d v="2024-07-27T00:00:00"/>
    <s v="Same Day"/>
    <s v="CU-227"/>
    <s v="Amit Verma"/>
    <x v="2"/>
    <s v="India"/>
    <x v="2"/>
    <x v="2"/>
    <x v="3"/>
    <x v="1"/>
    <s v="Paper"/>
    <x v="3"/>
    <n v="39616"/>
    <x v="1"/>
    <n v="0.1"/>
    <x v="211"/>
    <n v="1"/>
    <n v="7.9999999999999988E-2"/>
    <s v="Low Discount"/>
  </r>
  <r>
    <s v="ORD-213"/>
    <x v="159"/>
    <d v="2024-02-27T00:00:00"/>
    <s v="Second Class"/>
    <s v="CU-142"/>
    <s v="Priya Singh"/>
    <x v="0"/>
    <s v="India"/>
    <x v="0"/>
    <x v="5"/>
    <x v="2"/>
    <x v="2"/>
    <s v="Chair"/>
    <x v="0"/>
    <n v="46033"/>
    <x v="1"/>
    <n v="0.2"/>
    <x v="212"/>
    <n v="0"/>
    <n v="-2.0000000000000018E-2"/>
    <s v="High Discount"/>
  </r>
  <r>
    <s v="ORD-214"/>
    <x v="84"/>
    <d v="2024-09-04T00:00:00"/>
    <s v="Same Day"/>
    <s v="CU-619"/>
    <s v="Ravi Mehta"/>
    <x v="2"/>
    <s v="India"/>
    <x v="3"/>
    <x v="1"/>
    <x v="5"/>
    <x v="1"/>
    <s v="Table"/>
    <x v="4"/>
    <n v="58338"/>
    <x v="9"/>
    <n v="0.3"/>
    <x v="213"/>
    <n v="4"/>
    <n v="-0.12"/>
    <s v="High Discount"/>
  </r>
  <r>
    <s v="ORD-215"/>
    <x v="7"/>
    <d v="2024-10-19T00:00:00"/>
    <s v="Second Class"/>
    <s v="CU-568"/>
    <s v="Priya Singh"/>
    <x v="1"/>
    <s v="India"/>
    <x v="2"/>
    <x v="5"/>
    <x v="1"/>
    <x v="1"/>
    <s v="Paper"/>
    <x v="2"/>
    <n v="32992"/>
    <x v="3"/>
    <n v="0"/>
    <x v="214"/>
    <n v="1"/>
    <n v="0.18"/>
    <s v="Low Discount"/>
  </r>
  <r>
    <s v="ORD-216"/>
    <x v="160"/>
    <d v="2024-03-27T00:00:00"/>
    <s v="Second Class"/>
    <s v="CU-201"/>
    <s v="Sunil Kumar"/>
    <x v="2"/>
    <s v="India"/>
    <x v="2"/>
    <x v="0"/>
    <x v="4"/>
    <x v="1"/>
    <s v="Table"/>
    <x v="1"/>
    <n v="58068"/>
    <x v="1"/>
    <n v="0.1"/>
    <x v="215"/>
    <n v="2"/>
    <n v="7.9999999999999988E-2"/>
    <s v="Low Discount"/>
  </r>
  <r>
    <s v="ORD-217"/>
    <x v="13"/>
    <d v="2024-01-08T00:00:00"/>
    <s v="Same Day"/>
    <s v="CU-384"/>
    <s v="Arjun Malhotra"/>
    <x v="0"/>
    <s v="India"/>
    <x v="3"/>
    <x v="1"/>
    <x v="4"/>
    <x v="1"/>
    <s v="Paper"/>
    <x v="2"/>
    <n v="58962"/>
    <x v="5"/>
    <n v="0"/>
    <x v="216"/>
    <n v="3"/>
    <n v="0.18"/>
    <s v="Low Discount"/>
  </r>
  <r>
    <s v="ORD-218"/>
    <x v="140"/>
    <d v="2024-01-29T00:00:00"/>
    <s v="Same Day"/>
    <s v="CU-375"/>
    <s v="Priya Singh"/>
    <x v="1"/>
    <s v="India"/>
    <x v="1"/>
    <x v="2"/>
    <x v="2"/>
    <x v="2"/>
    <s v="Laptop"/>
    <x v="3"/>
    <n v="5006"/>
    <x v="9"/>
    <n v="0.1"/>
    <x v="217"/>
    <n v="0"/>
    <n v="7.9999999999999988E-2"/>
    <s v="Low Discount"/>
  </r>
  <r>
    <s v="ORD-219"/>
    <x v="58"/>
    <d v="2024-07-10T00:00:00"/>
    <s v="Same Day"/>
    <s v="CU-447"/>
    <s v="Rahul Sharma"/>
    <x v="0"/>
    <s v="India"/>
    <x v="3"/>
    <x v="0"/>
    <x v="3"/>
    <x v="2"/>
    <s v="Chair"/>
    <x v="5"/>
    <n v="19467"/>
    <x v="4"/>
    <n v="0.05"/>
    <x v="218"/>
    <n v="3"/>
    <n v="0.13"/>
    <s v="Low Discount"/>
  </r>
  <r>
    <s v="ORD-220"/>
    <x v="17"/>
    <d v="2024-08-27T00:00:00"/>
    <s v="Second Class"/>
    <s v="CU-366"/>
    <s v="Ravi Mehta"/>
    <x v="1"/>
    <s v="India"/>
    <x v="3"/>
    <x v="3"/>
    <x v="3"/>
    <x v="1"/>
    <s v="Laptop"/>
    <x v="0"/>
    <n v="13508"/>
    <x v="8"/>
    <n v="0.2"/>
    <x v="219"/>
    <n v="3"/>
    <n v="-2.0000000000000018E-2"/>
    <s v="High Discount"/>
  </r>
  <r>
    <s v="ORD-221"/>
    <x v="161"/>
    <d v="2024-03-07T00:00:00"/>
    <s v="Standard Class"/>
    <s v="CU-380"/>
    <s v="Amit Verma"/>
    <x v="1"/>
    <s v="India"/>
    <x v="3"/>
    <x v="5"/>
    <x v="2"/>
    <x v="1"/>
    <s v="Paper"/>
    <x v="0"/>
    <n v="19819"/>
    <x v="2"/>
    <n v="0.05"/>
    <x v="220"/>
    <n v="4"/>
    <n v="0.13"/>
    <s v="Low Discount"/>
  </r>
  <r>
    <s v="ORD-222"/>
    <x v="162"/>
    <d v="2024-10-25T00:00:00"/>
    <s v="Second Class"/>
    <s v="CU-904"/>
    <s v="Ravi Mehta"/>
    <x v="1"/>
    <s v="India"/>
    <x v="0"/>
    <x v="2"/>
    <x v="1"/>
    <x v="0"/>
    <s v="Paper"/>
    <x v="4"/>
    <n v="30867"/>
    <x v="2"/>
    <n v="0.1"/>
    <x v="221"/>
    <n v="5"/>
    <n v="7.9999999999999988E-2"/>
    <s v="Low Discount"/>
  </r>
  <r>
    <s v="ORD-223"/>
    <x v="163"/>
    <d v="2024-07-01T00:00:00"/>
    <s v="Second Class"/>
    <s v="CU-162"/>
    <s v="Priya Singh"/>
    <x v="2"/>
    <s v="India"/>
    <x v="2"/>
    <x v="3"/>
    <x v="3"/>
    <x v="2"/>
    <s v="Laptop"/>
    <x v="2"/>
    <n v="42442"/>
    <x v="9"/>
    <n v="0"/>
    <x v="222"/>
    <n v="1"/>
    <n v="0.18"/>
    <s v="Low Discount"/>
  </r>
  <r>
    <s v="ORD-224"/>
    <x v="164"/>
    <d v="2024-03-23T00:00:00"/>
    <s v="Standard Class"/>
    <s v="CU-869"/>
    <s v="Rahul Sharma"/>
    <x v="2"/>
    <s v="India"/>
    <x v="1"/>
    <x v="0"/>
    <x v="3"/>
    <x v="1"/>
    <s v="Table"/>
    <x v="0"/>
    <n v="27636"/>
    <x v="1"/>
    <n v="0"/>
    <x v="223"/>
    <n v="0"/>
    <n v="0.18"/>
    <s v="Low Discount"/>
  </r>
  <r>
    <s v="ORD-225"/>
    <x v="165"/>
    <d v="2024-09-18T00:00:00"/>
    <s v="Same Day"/>
    <s v="CU-770"/>
    <s v="Pooja Yadav"/>
    <x v="1"/>
    <s v="India"/>
    <x v="0"/>
    <x v="4"/>
    <x v="5"/>
    <x v="2"/>
    <s v="Mobile"/>
    <x v="1"/>
    <n v="25010"/>
    <x v="5"/>
    <n v="0.3"/>
    <x v="224"/>
    <n v="2"/>
    <n v="-0.12"/>
    <s v="High Discount"/>
  </r>
  <r>
    <s v="ORD-226"/>
    <x v="166"/>
    <d v="2024-03-04T00:00:00"/>
    <s v="Same Day"/>
    <s v="CU-385"/>
    <s v="Sunil Kumar"/>
    <x v="1"/>
    <s v="India"/>
    <x v="0"/>
    <x v="3"/>
    <x v="3"/>
    <x v="1"/>
    <s v="Table"/>
    <x v="2"/>
    <n v="54457"/>
    <x v="5"/>
    <n v="0"/>
    <x v="225"/>
    <n v="0"/>
    <n v="0.18"/>
    <s v="Low Discount"/>
  </r>
  <r>
    <s v="ORD-227"/>
    <x v="167"/>
    <d v="2024-11-09T00:00:00"/>
    <s v="Standard Class"/>
    <s v="CU-766"/>
    <s v="Pooja Yadav"/>
    <x v="0"/>
    <s v="India"/>
    <x v="2"/>
    <x v="4"/>
    <x v="0"/>
    <x v="2"/>
    <s v="Mobile"/>
    <x v="4"/>
    <n v="15668"/>
    <x v="7"/>
    <n v="0.2"/>
    <x v="226"/>
    <n v="4"/>
    <n v="-2.0000000000000018E-2"/>
    <s v="High Discount"/>
  </r>
  <r>
    <s v="ORD-228"/>
    <x v="168"/>
    <d v="2024-04-15T00:00:00"/>
    <s v="Second Class"/>
    <s v="CU-321"/>
    <s v="Arjun Malhotra"/>
    <x v="2"/>
    <s v="India"/>
    <x v="0"/>
    <x v="0"/>
    <x v="5"/>
    <x v="2"/>
    <s v="Chair"/>
    <x v="2"/>
    <n v="790"/>
    <x v="5"/>
    <n v="0"/>
    <x v="227"/>
    <n v="5"/>
    <n v="0.18"/>
    <s v="Low Discount"/>
  </r>
  <r>
    <s v="ORD-229"/>
    <x v="169"/>
    <d v="2024-04-26T00:00:00"/>
    <s v="Standard Class"/>
    <s v="CU-460"/>
    <s v="Neha Gupta"/>
    <x v="0"/>
    <s v="India"/>
    <x v="3"/>
    <x v="4"/>
    <x v="1"/>
    <x v="0"/>
    <s v="Table"/>
    <x v="0"/>
    <n v="860"/>
    <x v="6"/>
    <n v="0.1"/>
    <x v="228"/>
    <n v="4"/>
    <n v="7.9999999999999974E-2"/>
    <s v="Low Discount"/>
  </r>
  <r>
    <s v="ORD-230"/>
    <x v="69"/>
    <d v="2024-11-02T00:00:00"/>
    <s v="Second Class"/>
    <s v="CU-537"/>
    <s v="Rahul Sharma"/>
    <x v="2"/>
    <s v="India"/>
    <x v="3"/>
    <x v="1"/>
    <x v="5"/>
    <x v="0"/>
    <s v="Laptop"/>
    <x v="3"/>
    <n v="48406"/>
    <x v="8"/>
    <n v="0.3"/>
    <x v="229"/>
    <n v="1"/>
    <n v="-0.11999999999999998"/>
    <s v="High Discount"/>
  </r>
  <r>
    <s v="ORD-231"/>
    <x v="170"/>
    <d v="2024-08-21T00:00:00"/>
    <s v="Standard Class"/>
    <s v="CU-746"/>
    <s v="Sunil Kumar"/>
    <x v="0"/>
    <s v="India"/>
    <x v="1"/>
    <x v="5"/>
    <x v="4"/>
    <x v="0"/>
    <s v="Mobile"/>
    <x v="1"/>
    <n v="40262"/>
    <x v="2"/>
    <n v="0.2"/>
    <x v="230"/>
    <n v="1"/>
    <n v="-2.0000000000000018E-2"/>
    <s v="High Discount"/>
  </r>
  <r>
    <s v="ORD-232"/>
    <x v="171"/>
    <d v="2024-08-16T00:00:00"/>
    <s v="Standard Class"/>
    <s v="CU-775"/>
    <s v="Priya Singh"/>
    <x v="2"/>
    <s v="India"/>
    <x v="3"/>
    <x v="1"/>
    <x v="2"/>
    <x v="2"/>
    <s v="Laptop"/>
    <x v="3"/>
    <n v="1761"/>
    <x v="5"/>
    <n v="0.2"/>
    <x v="231"/>
    <n v="3"/>
    <n v="-2.0000000000000021E-2"/>
    <s v="High Discount"/>
  </r>
  <r>
    <s v="ORD-233"/>
    <x v="172"/>
    <d v="2024-11-21T00:00:00"/>
    <s v="Standard Class"/>
    <s v="CU-728"/>
    <s v="Ravi Mehta"/>
    <x v="0"/>
    <s v="India"/>
    <x v="3"/>
    <x v="5"/>
    <x v="2"/>
    <x v="2"/>
    <s v="Paper"/>
    <x v="4"/>
    <n v="34356"/>
    <x v="5"/>
    <n v="0.2"/>
    <x v="232"/>
    <n v="2"/>
    <n v="-2.0000000000000018E-2"/>
    <s v="High Discount"/>
  </r>
  <r>
    <s v="ORD-234"/>
    <x v="106"/>
    <d v="2024-08-02T00:00:00"/>
    <s v="Second Class"/>
    <s v="CU-961"/>
    <s v="Priya Singh"/>
    <x v="0"/>
    <s v="India"/>
    <x v="1"/>
    <x v="0"/>
    <x v="1"/>
    <x v="0"/>
    <s v="Laptop"/>
    <x v="4"/>
    <n v="26695"/>
    <x v="6"/>
    <n v="0"/>
    <x v="233"/>
    <n v="5"/>
    <n v="0.18"/>
    <s v="Low Discount"/>
  </r>
  <r>
    <s v="ORD-235"/>
    <x v="121"/>
    <d v="2024-01-11T00:00:00"/>
    <s v="Second Class"/>
    <s v="CU-566"/>
    <s v="Sunil Kumar"/>
    <x v="0"/>
    <s v="India"/>
    <x v="2"/>
    <x v="1"/>
    <x v="0"/>
    <x v="0"/>
    <s v="Laptop"/>
    <x v="5"/>
    <n v="3305"/>
    <x v="5"/>
    <n v="0.3"/>
    <x v="234"/>
    <n v="0"/>
    <n v="-0.12"/>
    <s v="High Discount"/>
  </r>
  <r>
    <s v="ORD-236"/>
    <x v="173"/>
    <d v="2024-02-29T00:00:00"/>
    <s v="Second Class"/>
    <s v="CU-225"/>
    <s v="Pooja Yadav"/>
    <x v="2"/>
    <s v="India"/>
    <x v="3"/>
    <x v="5"/>
    <x v="4"/>
    <x v="1"/>
    <s v="Chair"/>
    <x v="1"/>
    <n v="42093"/>
    <x v="7"/>
    <n v="0.05"/>
    <x v="235"/>
    <n v="5"/>
    <n v="0.13"/>
    <s v="Low Discount"/>
  </r>
  <r>
    <s v="ORD-237"/>
    <x v="21"/>
    <d v="2024-08-20T00:00:00"/>
    <s v="Standard Class"/>
    <s v="CU-615"/>
    <s v="Arjun Malhotra"/>
    <x v="1"/>
    <s v="India"/>
    <x v="2"/>
    <x v="4"/>
    <x v="0"/>
    <x v="2"/>
    <s v="Laptop"/>
    <x v="4"/>
    <n v="15766"/>
    <x v="5"/>
    <n v="0.1"/>
    <x v="236"/>
    <n v="1"/>
    <n v="7.9999999999999988E-2"/>
    <s v="Low Discount"/>
  </r>
  <r>
    <s v="ORD-238"/>
    <x v="174"/>
    <d v="2024-12-22T00:00:00"/>
    <s v="Second Class"/>
    <s v="CU-330"/>
    <s v="Pooja Yadav"/>
    <x v="2"/>
    <s v="India"/>
    <x v="0"/>
    <x v="2"/>
    <x v="4"/>
    <x v="1"/>
    <s v="Table"/>
    <x v="5"/>
    <n v="35808"/>
    <x v="6"/>
    <n v="0"/>
    <x v="237"/>
    <n v="4"/>
    <n v="0.18"/>
    <s v="Low Discount"/>
  </r>
  <r>
    <s v="ORD-239"/>
    <x v="117"/>
    <d v="2024-11-16T00:00:00"/>
    <s v="Same Day"/>
    <s v="CU-222"/>
    <s v="Sunil Kumar"/>
    <x v="0"/>
    <s v="India"/>
    <x v="2"/>
    <x v="2"/>
    <x v="3"/>
    <x v="1"/>
    <s v="Table"/>
    <x v="5"/>
    <n v="58042"/>
    <x v="2"/>
    <n v="0"/>
    <x v="238"/>
    <n v="3"/>
    <n v="0.18"/>
    <s v="Low Discount"/>
  </r>
  <r>
    <s v="ORD-240"/>
    <x v="92"/>
    <d v="2024-12-02T00:00:00"/>
    <s v="Standard Class"/>
    <s v="CU-335"/>
    <s v="Neha Gupta"/>
    <x v="0"/>
    <s v="India"/>
    <x v="0"/>
    <x v="1"/>
    <x v="0"/>
    <x v="0"/>
    <s v="Mobile"/>
    <x v="1"/>
    <n v="19821"/>
    <x v="0"/>
    <n v="0.3"/>
    <x v="239"/>
    <n v="5"/>
    <n v="-0.12"/>
    <s v="High Discount"/>
  </r>
  <r>
    <s v="ORD-241"/>
    <x v="33"/>
    <d v="2024-04-22T00:00:00"/>
    <s v="Same Day"/>
    <s v="CU-576"/>
    <s v="Amit Verma"/>
    <x v="1"/>
    <s v="India"/>
    <x v="1"/>
    <x v="2"/>
    <x v="5"/>
    <x v="1"/>
    <s v="Table"/>
    <x v="1"/>
    <n v="50306"/>
    <x v="0"/>
    <n v="0"/>
    <x v="240"/>
    <n v="4"/>
    <n v="0.18"/>
    <s v="Low Discount"/>
  </r>
  <r>
    <s v="ORD-242"/>
    <x v="175"/>
    <d v="2024-07-30T00:00:00"/>
    <s v="Same Day"/>
    <s v="CU-684"/>
    <s v="Neha Gupta"/>
    <x v="2"/>
    <s v="India"/>
    <x v="3"/>
    <x v="4"/>
    <x v="4"/>
    <x v="0"/>
    <s v="Chair"/>
    <x v="2"/>
    <n v="27629"/>
    <x v="6"/>
    <n v="0.05"/>
    <x v="241"/>
    <n v="1"/>
    <n v="0.13"/>
    <s v="Low Discount"/>
  </r>
  <r>
    <s v="ORD-243"/>
    <x v="176"/>
    <d v="2024-08-22T00:00:00"/>
    <s v="Standard Class"/>
    <s v="CU-538"/>
    <s v="Ravi Mehta"/>
    <x v="1"/>
    <s v="India"/>
    <x v="2"/>
    <x v="4"/>
    <x v="4"/>
    <x v="1"/>
    <s v="Chair"/>
    <x v="1"/>
    <n v="44943"/>
    <x v="1"/>
    <n v="0.3"/>
    <x v="242"/>
    <n v="0"/>
    <n v="-0.12"/>
    <s v="High Discount"/>
  </r>
  <r>
    <s v="ORD-244"/>
    <x v="177"/>
    <d v="2024-12-08T00:00:00"/>
    <s v="Second Class"/>
    <s v="CU-846"/>
    <s v="Priya Singh"/>
    <x v="1"/>
    <s v="India"/>
    <x v="2"/>
    <x v="4"/>
    <x v="3"/>
    <x v="2"/>
    <s v="Chair"/>
    <x v="2"/>
    <n v="3312"/>
    <x v="3"/>
    <n v="0.1"/>
    <x v="243"/>
    <n v="3"/>
    <n v="7.9999999999999988E-2"/>
    <s v="Low Discount"/>
  </r>
  <r>
    <s v="ORD-245"/>
    <x v="16"/>
    <d v="2024-11-26T00:00:00"/>
    <s v="Standard Class"/>
    <s v="CU-754"/>
    <s v="Pooja Yadav"/>
    <x v="2"/>
    <s v="India"/>
    <x v="1"/>
    <x v="2"/>
    <x v="0"/>
    <x v="1"/>
    <s v="Chair"/>
    <x v="5"/>
    <n v="44095"/>
    <x v="8"/>
    <n v="0.2"/>
    <x v="244"/>
    <n v="3"/>
    <n v="-2.0000000000000018E-2"/>
    <s v="High Discount"/>
  </r>
  <r>
    <s v="ORD-246"/>
    <x v="178"/>
    <d v="2024-06-28T00:00:00"/>
    <s v="Second Class"/>
    <s v="CU-897"/>
    <s v="Arjun Malhotra"/>
    <x v="2"/>
    <s v="India"/>
    <x v="3"/>
    <x v="3"/>
    <x v="0"/>
    <x v="0"/>
    <s v="Mobile"/>
    <x v="1"/>
    <n v="42152"/>
    <x v="7"/>
    <n v="0.05"/>
    <x v="245"/>
    <n v="0"/>
    <n v="0.13"/>
    <s v="Low Discount"/>
  </r>
  <r>
    <s v="ORD-247"/>
    <x v="149"/>
    <d v="2025-01-02T00:00:00"/>
    <s v="Standard Class"/>
    <s v="CU-491"/>
    <s v="Arjun Malhotra"/>
    <x v="0"/>
    <s v="India"/>
    <x v="3"/>
    <x v="2"/>
    <x v="5"/>
    <x v="2"/>
    <s v="Mobile"/>
    <x v="2"/>
    <n v="28880"/>
    <x v="3"/>
    <n v="0.2"/>
    <x v="246"/>
    <n v="5"/>
    <n v="-2.0000000000000018E-2"/>
    <s v="High Discount"/>
  </r>
  <r>
    <s v="ORD-248"/>
    <x v="179"/>
    <d v="2024-02-18T00:00:00"/>
    <s v="Same Day"/>
    <s v="CU-759"/>
    <s v="Ravi Mehta"/>
    <x v="2"/>
    <s v="India"/>
    <x v="0"/>
    <x v="1"/>
    <x v="5"/>
    <x v="1"/>
    <s v="Laptop"/>
    <x v="0"/>
    <n v="36488"/>
    <x v="2"/>
    <n v="0"/>
    <x v="247"/>
    <n v="4"/>
    <n v="0.18"/>
    <s v="Low Discount"/>
  </r>
  <r>
    <s v="ORD-249"/>
    <x v="19"/>
    <d v="2024-11-16T00:00:00"/>
    <s v="Same Day"/>
    <s v="CU-529"/>
    <s v="Pooja Yadav"/>
    <x v="2"/>
    <s v="India"/>
    <x v="1"/>
    <x v="2"/>
    <x v="1"/>
    <x v="1"/>
    <s v="Chair"/>
    <x v="0"/>
    <n v="51769"/>
    <x v="6"/>
    <n v="0.1"/>
    <x v="248"/>
    <n v="2"/>
    <n v="7.9999999999999988E-2"/>
    <s v="Low Discount"/>
  </r>
  <r>
    <s v="ORD-250"/>
    <x v="180"/>
    <d v="2024-07-26T00:00:00"/>
    <s v="Same Day"/>
    <s v="CU-579"/>
    <s v="Arjun Malhotra"/>
    <x v="2"/>
    <s v="India"/>
    <x v="0"/>
    <x v="0"/>
    <x v="3"/>
    <x v="0"/>
    <s v="Mobile"/>
    <x v="0"/>
    <n v="15443"/>
    <x v="4"/>
    <n v="0.1"/>
    <x v="249"/>
    <n v="3"/>
    <n v="7.9999999999999988E-2"/>
    <s v="Low Discount"/>
  </r>
  <r>
    <s v="ORD-251"/>
    <x v="155"/>
    <d v="2024-12-02T00:00:00"/>
    <s v="Same Day"/>
    <s v="CU-566"/>
    <s v="Priya Singh"/>
    <x v="1"/>
    <s v="India"/>
    <x v="0"/>
    <x v="5"/>
    <x v="0"/>
    <x v="2"/>
    <s v="Table"/>
    <x v="3"/>
    <n v="44798"/>
    <x v="8"/>
    <n v="0.05"/>
    <x v="250"/>
    <n v="1"/>
    <n v="0.13"/>
    <s v="Low Discount"/>
  </r>
  <r>
    <s v="ORD-252"/>
    <x v="181"/>
    <d v="2024-11-16T00:00:00"/>
    <s v="Second Class"/>
    <s v="CU-373"/>
    <s v="Neha Gupta"/>
    <x v="2"/>
    <s v="India"/>
    <x v="1"/>
    <x v="1"/>
    <x v="2"/>
    <x v="0"/>
    <s v="Mobile"/>
    <x v="1"/>
    <n v="45983"/>
    <x v="1"/>
    <n v="0"/>
    <x v="251"/>
    <n v="0"/>
    <n v="0.18000000000000002"/>
    <s v="Low Discount"/>
  </r>
  <r>
    <s v="ORD-253"/>
    <x v="11"/>
    <d v="2024-07-01T00:00:00"/>
    <s v="Second Class"/>
    <s v="CU-451"/>
    <s v="Sunil Kumar"/>
    <x v="2"/>
    <s v="India"/>
    <x v="2"/>
    <x v="4"/>
    <x v="2"/>
    <x v="0"/>
    <s v="Laptop"/>
    <x v="1"/>
    <n v="55562"/>
    <x v="2"/>
    <n v="0.3"/>
    <x v="252"/>
    <n v="2"/>
    <n v="-0.12"/>
    <s v="High Discount"/>
  </r>
  <r>
    <s v="ORD-254"/>
    <x v="182"/>
    <d v="2024-10-26T00:00:00"/>
    <s v="Same Day"/>
    <s v="CU-544"/>
    <s v="Neha Gupta"/>
    <x v="1"/>
    <s v="India"/>
    <x v="3"/>
    <x v="5"/>
    <x v="0"/>
    <x v="1"/>
    <s v="Mobile"/>
    <x v="2"/>
    <n v="8671"/>
    <x v="2"/>
    <n v="0.3"/>
    <x v="253"/>
    <n v="0"/>
    <n v="-0.12"/>
    <s v="High Discount"/>
  </r>
  <r>
    <s v="ORD-255"/>
    <x v="127"/>
    <d v="2024-11-26T00:00:00"/>
    <s v="Same Day"/>
    <s v="CU-529"/>
    <s v="Amit Verma"/>
    <x v="0"/>
    <s v="India"/>
    <x v="0"/>
    <x v="1"/>
    <x v="0"/>
    <x v="2"/>
    <s v="Chair"/>
    <x v="1"/>
    <n v="10848"/>
    <x v="9"/>
    <n v="0"/>
    <x v="254"/>
    <n v="2"/>
    <n v="0.18"/>
    <s v="Low Discount"/>
  </r>
  <r>
    <s v="ORD-256"/>
    <x v="5"/>
    <d v="2024-05-24T00:00:00"/>
    <s v="Second Class"/>
    <s v="CU-919"/>
    <s v="Arjun Malhotra"/>
    <x v="1"/>
    <s v="India"/>
    <x v="1"/>
    <x v="3"/>
    <x v="3"/>
    <x v="2"/>
    <s v="Paper"/>
    <x v="4"/>
    <n v="13676"/>
    <x v="8"/>
    <n v="0.1"/>
    <x v="255"/>
    <n v="4"/>
    <n v="7.9999999999999988E-2"/>
    <s v="Low Discount"/>
  </r>
  <r>
    <s v="ORD-257"/>
    <x v="160"/>
    <d v="2024-03-27T00:00:00"/>
    <s v="Second Class"/>
    <s v="CU-464"/>
    <s v="Pooja Yadav"/>
    <x v="2"/>
    <s v="India"/>
    <x v="0"/>
    <x v="1"/>
    <x v="2"/>
    <x v="2"/>
    <s v="Table"/>
    <x v="5"/>
    <n v="38991"/>
    <x v="9"/>
    <n v="0.3"/>
    <x v="256"/>
    <n v="2"/>
    <n v="-0.12"/>
    <s v="High Discount"/>
  </r>
  <r>
    <s v="ORD-258"/>
    <x v="35"/>
    <d v="2024-10-14T00:00:00"/>
    <s v="Same Day"/>
    <s v="CU-980"/>
    <s v="Arjun Malhotra"/>
    <x v="0"/>
    <s v="India"/>
    <x v="3"/>
    <x v="5"/>
    <x v="3"/>
    <x v="1"/>
    <s v="Paper"/>
    <x v="5"/>
    <n v="48887"/>
    <x v="0"/>
    <n v="0"/>
    <x v="257"/>
    <n v="5"/>
    <n v="0.18"/>
    <s v="Low Discount"/>
  </r>
  <r>
    <s v="ORD-259"/>
    <x v="183"/>
    <d v="2024-02-02T00:00:00"/>
    <s v="Second Class"/>
    <s v="CU-589"/>
    <s v="Pooja Yadav"/>
    <x v="1"/>
    <s v="India"/>
    <x v="1"/>
    <x v="0"/>
    <x v="5"/>
    <x v="1"/>
    <s v="Table"/>
    <x v="1"/>
    <n v="14296"/>
    <x v="0"/>
    <n v="0.1"/>
    <x v="258"/>
    <n v="3"/>
    <n v="7.9999999999999988E-2"/>
    <s v="Low Discount"/>
  </r>
  <r>
    <s v="ORD-260"/>
    <x v="163"/>
    <d v="2024-07-02T00:00:00"/>
    <s v="Standard Class"/>
    <s v="CU-154"/>
    <s v="Priya Singh"/>
    <x v="1"/>
    <s v="India"/>
    <x v="3"/>
    <x v="1"/>
    <x v="5"/>
    <x v="2"/>
    <s v="Table"/>
    <x v="5"/>
    <n v="27531"/>
    <x v="9"/>
    <n v="0.1"/>
    <x v="259"/>
    <n v="2"/>
    <n v="7.9999999999999988E-2"/>
    <s v="Low Discount"/>
  </r>
  <r>
    <s v="ORD-261"/>
    <x v="184"/>
    <d v="2024-02-17T00:00:00"/>
    <s v="Second Class"/>
    <s v="CU-590"/>
    <s v="Sunil Kumar"/>
    <x v="1"/>
    <s v="India"/>
    <x v="1"/>
    <x v="2"/>
    <x v="2"/>
    <x v="2"/>
    <s v="Table"/>
    <x v="2"/>
    <n v="9812"/>
    <x v="9"/>
    <n v="0.05"/>
    <x v="260"/>
    <n v="5"/>
    <n v="0.13"/>
    <s v="Low Discount"/>
  </r>
  <r>
    <s v="ORD-262"/>
    <x v="29"/>
    <d v="2024-06-14T00:00:00"/>
    <s v="Second Class"/>
    <s v="CU-434"/>
    <s v="Priya Singh"/>
    <x v="1"/>
    <s v="India"/>
    <x v="2"/>
    <x v="2"/>
    <x v="5"/>
    <x v="2"/>
    <s v="Chair"/>
    <x v="4"/>
    <n v="50784"/>
    <x v="4"/>
    <n v="0.2"/>
    <x v="261"/>
    <n v="4"/>
    <n v="-2.0000000000000018E-2"/>
    <s v="High Discount"/>
  </r>
  <r>
    <s v="ORD-263"/>
    <x v="185"/>
    <d v="2024-05-11T00:00:00"/>
    <s v="Same Day"/>
    <s v="CU-714"/>
    <s v="Priya Singh"/>
    <x v="1"/>
    <s v="India"/>
    <x v="2"/>
    <x v="2"/>
    <x v="3"/>
    <x v="1"/>
    <s v="Laptop"/>
    <x v="0"/>
    <n v="4696"/>
    <x v="1"/>
    <n v="0.05"/>
    <x v="262"/>
    <n v="1"/>
    <n v="0.13"/>
    <s v="Low Discount"/>
  </r>
  <r>
    <s v="ORD-264"/>
    <x v="96"/>
    <d v="2024-09-01T00:00:00"/>
    <s v="Standard Class"/>
    <s v="CU-787"/>
    <s v="Sunil Kumar"/>
    <x v="0"/>
    <s v="India"/>
    <x v="3"/>
    <x v="5"/>
    <x v="0"/>
    <x v="1"/>
    <s v="Paper"/>
    <x v="1"/>
    <n v="44091"/>
    <x v="8"/>
    <n v="0.05"/>
    <x v="263"/>
    <n v="2"/>
    <n v="0.13"/>
    <s v="Low Discount"/>
  </r>
  <r>
    <s v="ORD-265"/>
    <x v="186"/>
    <d v="2024-03-14T00:00:00"/>
    <s v="Standard Class"/>
    <s v="CU-236"/>
    <s v="Priya Singh"/>
    <x v="0"/>
    <s v="India"/>
    <x v="1"/>
    <x v="3"/>
    <x v="4"/>
    <x v="0"/>
    <s v="Chair"/>
    <x v="0"/>
    <n v="54831"/>
    <x v="6"/>
    <n v="0.05"/>
    <x v="264"/>
    <n v="2"/>
    <n v="0.13"/>
    <s v="Low Discount"/>
  </r>
  <r>
    <s v="ORD-266"/>
    <x v="187"/>
    <d v="2024-03-01T00:00:00"/>
    <s v="Standard Class"/>
    <s v="CU-722"/>
    <s v="Rahul Sharma"/>
    <x v="0"/>
    <s v="India"/>
    <x v="0"/>
    <x v="2"/>
    <x v="4"/>
    <x v="1"/>
    <s v="Laptop"/>
    <x v="1"/>
    <n v="48874"/>
    <x v="3"/>
    <n v="0"/>
    <x v="265"/>
    <n v="2"/>
    <n v="0.18"/>
    <s v="Low Discount"/>
  </r>
  <r>
    <s v="ORD-267"/>
    <x v="188"/>
    <d v="2024-08-12T00:00:00"/>
    <s v="Second Class"/>
    <s v="CU-845"/>
    <s v="Pooja Yadav"/>
    <x v="0"/>
    <s v="India"/>
    <x v="2"/>
    <x v="4"/>
    <x v="1"/>
    <x v="2"/>
    <s v="Mobile"/>
    <x v="4"/>
    <n v="53057"/>
    <x v="4"/>
    <n v="0.3"/>
    <x v="266"/>
    <n v="5"/>
    <n v="-0.12000000000000001"/>
    <s v="High Discount"/>
  </r>
  <r>
    <s v="ORD-268"/>
    <x v="189"/>
    <d v="2024-07-17T00:00:00"/>
    <s v="Second Class"/>
    <s v="CU-373"/>
    <s v="Priya Singh"/>
    <x v="2"/>
    <s v="India"/>
    <x v="0"/>
    <x v="4"/>
    <x v="0"/>
    <x v="2"/>
    <s v="Table"/>
    <x v="0"/>
    <n v="29632"/>
    <x v="0"/>
    <n v="0.1"/>
    <x v="267"/>
    <n v="3"/>
    <n v="7.9999999999999988E-2"/>
    <s v="Low Discount"/>
  </r>
  <r>
    <s v="ORD-269"/>
    <x v="190"/>
    <d v="2024-08-17T00:00:00"/>
    <s v="Second Class"/>
    <s v="CU-645"/>
    <s v="Amit Verma"/>
    <x v="2"/>
    <s v="India"/>
    <x v="0"/>
    <x v="2"/>
    <x v="0"/>
    <x v="1"/>
    <s v="Mobile"/>
    <x v="3"/>
    <n v="13422"/>
    <x v="3"/>
    <n v="0.1"/>
    <x v="268"/>
    <n v="2"/>
    <n v="7.9999999999999988E-2"/>
    <s v="Low Discount"/>
  </r>
  <r>
    <s v="ORD-270"/>
    <x v="93"/>
    <d v="2024-01-27T00:00:00"/>
    <s v="Same Day"/>
    <s v="CU-847"/>
    <s v="Neha Gupta"/>
    <x v="0"/>
    <s v="India"/>
    <x v="2"/>
    <x v="3"/>
    <x v="0"/>
    <x v="0"/>
    <s v="Chair"/>
    <x v="2"/>
    <n v="11576"/>
    <x v="1"/>
    <n v="0.2"/>
    <x v="269"/>
    <n v="5"/>
    <n v="-2.0000000000000018E-2"/>
    <s v="High Discount"/>
  </r>
  <r>
    <s v="ORD-271"/>
    <x v="191"/>
    <d v="2024-10-31T00:00:00"/>
    <s v="Same Day"/>
    <s v="CU-654"/>
    <s v="Neha Gupta"/>
    <x v="2"/>
    <s v="India"/>
    <x v="3"/>
    <x v="3"/>
    <x v="0"/>
    <x v="2"/>
    <s v="Mobile"/>
    <x v="1"/>
    <n v="20021"/>
    <x v="0"/>
    <n v="0.1"/>
    <x v="270"/>
    <n v="4"/>
    <n v="7.9999999999999988E-2"/>
    <s v="Low Discount"/>
  </r>
  <r>
    <s v="ORD-272"/>
    <x v="192"/>
    <d v="2024-05-12T00:00:00"/>
    <s v="Second Class"/>
    <s v="CU-101"/>
    <s v="Sunil Kumar"/>
    <x v="1"/>
    <s v="India"/>
    <x v="1"/>
    <x v="3"/>
    <x v="4"/>
    <x v="1"/>
    <s v="Mobile"/>
    <x v="3"/>
    <n v="37757"/>
    <x v="2"/>
    <n v="0.1"/>
    <x v="271"/>
    <n v="1"/>
    <n v="7.9999999999999988E-2"/>
    <s v="Low Discount"/>
  </r>
  <r>
    <s v="ORD-273"/>
    <x v="131"/>
    <d v="2024-11-21T00:00:00"/>
    <s v="Same Day"/>
    <s v="CU-764"/>
    <s v="Arjun Malhotra"/>
    <x v="2"/>
    <s v="India"/>
    <x v="0"/>
    <x v="4"/>
    <x v="0"/>
    <x v="1"/>
    <s v="Laptop"/>
    <x v="2"/>
    <n v="24912"/>
    <x v="7"/>
    <n v="0.1"/>
    <x v="272"/>
    <n v="0"/>
    <n v="7.9999999999999988E-2"/>
    <s v="Low Discount"/>
  </r>
  <r>
    <s v="ORD-274"/>
    <x v="193"/>
    <d v="2024-07-22T00:00:00"/>
    <s v="Second Class"/>
    <s v="CU-373"/>
    <s v="Ravi Mehta"/>
    <x v="1"/>
    <s v="India"/>
    <x v="1"/>
    <x v="3"/>
    <x v="2"/>
    <x v="0"/>
    <s v="Mobile"/>
    <x v="2"/>
    <n v="18274"/>
    <x v="8"/>
    <n v="0.05"/>
    <x v="273"/>
    <n v="3"/>
    <n v="0.13"/>
    <s v="Low Discount"/>
  </r>
  <r>
    <s v="ORD-275"/>
    <x v="152"/>
    <d v="2024-09-16T00:00:00"/>
    <s v="Second Class"/>
    <s v="CU-532"/>
    <s v="Ravi Mehta"/>
    <x v="0"/>
    <s v="India"/>
    <x v="1"/>
    <x v="3"/>
    <x v="3"/>
    <x v="0"/>
    <s v="Table"/>
    <x v="4"/>
    <n v="28536"/>
    <x v="7"/>
    <n v="0.3"/>
    <x v="274"/>
    <n v="5"/>
    <n v="-0.12"/>
    <s v="High Discount"/>
  </r>
  <r>
    <s v="ORD-276"/>
    <x v="194"/>
    <d v="2024-10-03T00:00:00"/>
    <s v="Standard Class"/>
    <s v="CU-319"/>
    <s v="Ravi Mehta"/>
    <x v="2"/>
    <s v="India"/>
    <x v="3"/>
    <x v="5"/>
    <x v="4"/>
    <x v="2"/>
    <s v="Chair"/>
    <x v="3"/>
    <n v="57730"/>
    <x v="0"/>
    <n v="0.1"/>
    <x v="275"/>
    <n v="1"/>
    <n v="7.9999999999999988E-2"/>
    <s v="Low Discount"/>
  </r>
  <r>
    <s v="ORD-277"/>
    <x v="195"/>
    <d v="2024-11-15T00:00:00"/>
    <s v="Second Class"/>
    <s v="CU-475"/>
    <s v="Rahul Sharma"/>
    <x v="2"/>
    <s v="India"/>
    <x v="0"/>
    <x v="1"/>
    <x v="5"/>
    <x v="2"/>
    <s v="Chair"/>
    <x v="5"/>
    <n v="37190"/>
    <x v="3"/>
    <n v="0.1"/>
    <x v="276"/>
    <n v="3"/>
    <n v="7.9999999999999988E-2"/>
    <s v="Low Discount"/>
  </r>
  <r>
    <s v="ORD-278"/>
    <x v="142"/>
    <d v="2024-08-25T00:00:00"/>
    <s v="Standard Class"/>
    <s v="CU-501"/>
    <s v="Neha Gupta"/>
    <x v="0"/>
    <s v="India"/>
    <x v="3"/>
    <x v="5"/>
    <x v="0"/>
    <x v="0"/>
    <s v="Paper"/>
    <x v="4"/>
    <n v="5924"/>
    <x v="6"/>
    <n v="0.3"/>
    <x v="277"/>
    <n v="0"/>
    <n v="-0.12"/>
    <s v="High Discount"/>
  </r>
  <r>
    <s v="ORD-279"/>
    <x v="57"/>
    <d v="2024-03-24T00:00:00"/>
    <s v="Second Class"/>
    <s v="CU-141"/>
    <s v="Pooja Yadav"/>
    <x v="0"/>
    <s v="India"/>
    <x v="2"/>
    <x v="3"/>
    <x v="3"/>
    <x v="2"/>
    <s v="Table"/>
    <x v="2"/>
    <n v="2806"/>
    <x v="3"/>
    <n v="0.05"/>
    <x v="278"/>
    <n v="2"/>
    <n v="0.13"/>
    <s v="Low Discount"/>
  </r>
  <r>
    <s v="ORD-280"/>
    <x v="196"/>
    <d v="2024-12-12T00:00:00"/>
    <s v="Second Class"/>
    <s v="CU-343"/>
    <s v="Arjun Malhotra"/>
    <x v="0"/>
    <s v="India"/>
    <x v="1"/>
    <x v="3"/>
    <x v="0"/>
    <x v="1"/>
    <s v="Laptop"/>
    <x v="3"/>
    <n v="27768"/>
    <x v="2"/>
    <n v="0.05"/>
    <x v="279"/>
    <n v="0"/>
    <n v="0.13"/>
    <s v="Low Discount"/>
  </r>
  <r>
    <s v="ORD-281"/>
    <x v="197"/>
    <d v="2024-09-22T00:00:00"/>
    <s v="Standard Class"/>
    <s v="CU-536"/>
    <s v="Amit Verma"/>
    <x v="1"/>
    <s v="India"/>
    <x v="1"/>
    <x v="4"/>
    <x v="0"/>
    <x v="2"/>
    <s v="Paper"/>
    <x v="4"/>
    <n v="31219"/>
    <x v="1"/>
    <n v="0.1"/>
    <x v="280"/>
    <n v="0"/>
    <n v="7.9999999999999988E-2"/>
    <s v="Low Discount"/>
  </r>
  <r>
    <s v="ORD-282"/>
    <x v="171"/>
    <d v="2024-08-13T00:00:00"/>
    <s v="Second Class"/>
    <s v="CU-346"/>
    <s v="Rahul Sharma"/>
    <x v="1"/>
    <s v="India"/>
    <x v="0"/>
    <x v="2"/>
    <x v="3"/>
    <x v="1"/>
    <s v="Chair"/>
    <x v="2"/>
    <n v="12137"/>
    <x v="4"/>
    <n v="0"/>
    <x v="281"/>
    <n v="0"/>
    <n v="0.18"/>
    <s v="Low Discount"/>
  </r>
  <r>
    <s v="ORD-283"/>
    <x v="135"/>
    <d v="2024-07-10T00:00:00"/>
    <s v="Standard Class"/>
    <s v="CU-418"/>
    <s v="Pooja Yadav"/>
    <x v="0"/>
    <s v="India"/>
    <x v="1"/>
    <x v="2"/>
    <x v="3"/>
    <x v="1"/>
    <s v="Laptop"/>
    <x v="0"/>
    <n v="37531"/>
    <x v="4"/>
    <n v="0.2"/>
    <x v="282"/>
    <n v="5"/>
    <n v="-2.0000000000000018E-2"/>
    <s v="High Discount"/>
  </r>
  <r>
    <s v="ORD-284"/>
    <x v="166"/>
    <d v="2024-03-04T00:00:00"/>
    <s v="Second Class"/>
    <s v="CU-303"/>
    <s v="Pooja Yadav"/>
    <x v="1"/>
    <s v="India"/>
    <x v="1"/>
    <x v="2"/>
    <x v="2"/>
    <x v="0"/>
    <s v="Table"/>
    <x v="4"/>
    <n v="43242"/>
    <x v="4"/>
    <n v="0.05"/>
    <x v="283"/>
    <n v="0"/>
    <n v="0.13"/>
    <s v="Low Discount"/>
  </r>
  <r>
    <s v="ORD-285"/>
    <x v="126"/>
    <d v="2024-02-21T00:00:00"/>
    <s v="Second Class"/>
    <s v="CU-893"/>
    <s v="Priya Singh"/>
    <x v="2"/>
    <s v="India"/>
    <x v="0"/>
    <x v="3"/>
    <x v="5"/>
    <x v="1"/>
    <s v="Laptop"/>
    <x v="2"/>
    <n v="10909"/>
    <x v="0"/>
    <n v="0.3"/>
    <x v="284"/>
    <n v="1"/>
    <n v="-0.12"/>
    <s v="High Discount"/>
  </r>
  <r>
    <s v="ORD-286"/>
    <x v="198"/>
    <d v="2024-09-19T00:00:00"/>
    <s v="Standard Class"/>
    <s v="CU-997"/>
    <s v="Amit Verma"/>
    <x v="0"/>
    <s v="India"/>
    <x v="0"/>
    <x v="0"/>
    <x v="1"/>
    <x v="1"/>
    <s v="Table"/>
    <x v="3"/>
    <n v="16568"/>
    <x v="9"/>
    <n v="0"/>
    <x v="285"/>
    <n v="1"/>
    <n v="0.18"/>
    <s v="Low Discount"/>
  </r>
  <r>
    <s v="ORD-287"/>
    <x v="199"/>
    <d v="2024-07-04T00:00:00"/>
    <s v="Same Day"/>
    <s v="CU-355"/>
    <s v="Neha Gupta"/>
    <x v="2"/>
    <s v="India"/>
    <x v="1"/>
    <x v="1"/>
    <x v="0"/>
    <x v="0"/>
    <s v="Paper"/>
    <x v="4"/>
    <n v="9010"/>
    <x v="5"/>
    <n v="0.3"/>
    <x v="286"/>
    <n v="2"/>
    <n v="-0.12000000000000001"/>
    <s v="High Discount"/>
  </r>
  <r>
    <s v="ORD-288"/>
    <x v="200"/>
    <d v="2024-04-13T00:00:00"/>
    <s v="Same Day"/>
    <s v="CU-717"/>
    <s v="Neha Gupta"/>
    <x v="0"/>
    <s v="India"/>
    <x v="2"/>
    <x v="1"/>
    <x v="1"/>
    <x v="0"/>
    <s v="Paper"/>
    <x v="2"/>
    <n v="35338"/>
    <x v="1"/>
    <n v="0"/>
    <x v="287"/>
    <n v="5"/>
    <n v="0.18"/>
    <s v="Low Discount"/>
  </r>
  <r>
    <s v="ORD-289"/>
    <x v="201"/>
    <d v="2024-06-24T00:00:00"/>
    <s v="Standard Class"/>
    <s v="CU-473"/>
    <s v="Priya Singh"/>
    <x v="0"/>
    <s v="India"/>
    <x v="1"/>
    <x v="2"/>
    <x v="2"/>
    <x v="1"/>
    <s v="Laptop"/>
    <x v="0"/>
    <n v="49798"/>
    <x v="1"/>
    <n v="0.05"/>
    <x v="288"/>
    <n v="4"/>
    <n v="0.13"/>
    <s v="Low Discount"/>
  </r>
  <r>
    <s v="ORD-290"/>
    <x v="202"/>
    <d v="2024-06-20T00:00:00"/>
    <s v="Same Day"/>
    <s v="CU-379"/>
    <s v="Neha Gupta"/>
    <x v="0"/>
    <s v="India"/>
    <x v="3"/>
    <x v="1"/>
    <x v="5"/>
    <x v="0"/>
    <s v="Table"/>
    <x v="5"/>
    <n v="59392"/>
    <x v="4"/>
    <n v="0.3"/>
    <x v="289"/>
    <n v="4"/>
    <n v="-0.12"/>
    <s v="High Discount"/>
  </r>
  <r>
    <s v="ORD-291"/>
    <x v="43"/>
    <d v="2024-12-28T00:00:00"/>
    <s v="Standard Class"/>
    <s v="CU-686"/>
    <s v="Ravi Mehta"/>
    <x v="0"/>
    <s v="India"/>
    <x v="3"/>
    <x v="0"/>
    <x v="5"/>
    <x v="0"/>
    <s v="Table"/>
    <x v="5"/>
    <n v="53137"/>
    <x v="9"/>
    <n v="0.1"/>
    <x v="290"/>
    <n v="3"/>
    <n v="7.9999999999999988E-2"/>
    <s v="Low Discount"/>
  </r>
  <r>
    <s v="ORD-292"/>
    <x v="34"/>
    <d v="2024-07-06T00:00:00"/>
    <s v="Standard Class"/>
    <s v="CU-593"/>
    <s v="Priya Singh"/>
    <x v="1"/>
    <s v="India"/>
    <x v="2"/>
    <x v="0"/>
    <x v="4"/>
    <x v="1"/>
    <s v="Chair"/>
    <x v="0"/>
    <n v="11579"/>
    <x v="4"/>
    <n v="0"/>
    <x v="291"/>
    <n v="3"/>
    <n v="0.18"/>
    <s v="Low Discount"/>
  </r>
  <r>
    <s v="ORD-293"/>
    <x v="203"/>
    <d v="2024-12-03T00:00:00"/>
    <s v="Second Class"/>
    <s v="CU-558"/>
    <s v="Pooja Yadav"/>
    <x v="2"/>
    <s v="India"/>
    <x v="2"/>
    <x v="5"/>
    <x v="4"/>
    <x v="2"/>
    <s v="Laptop"/>
    <x v="1"/>
    <n v="54730"/>
    <x v="3"/>
    <n v="0.05"/>
    <x v="292"/>
    <n v="0"/>
    <n v="0.13"/>
    <s v="Low Discount"/>
  </r>
  <r>
    <s v="ORD-294"/>
    <x v="100"/>
    <d v="2024-10-27T00:00:00"/>
    <s v="Standard Class"/>
    <s v="CU-650"/>
    <s v="Arjun Malhotra"/>
    <x v="2"/>
    <s v="India"/>
    <x v="1"/>
    <x v="2"/>
    <x v="5"/>
    <x v="1"/>
    <s v="Table"/>
    <x v="2"/>
    <n v="55946"/>
    <x v="0"/>
    <n v="0.1"/>
    <x v="293"/>
    <n v="4"/>
    <n v="7.9999999999999988E-2"/>
    <s v="Low Discount"/>
  </r>
  <r>
    <s v="ORD-295"/>
    <x v="104"/>
    <d v="2024-08-27T00:00:00"/>
    <s v="Same Day"/>
    <s v="CU-548"/>
    <s v="Amit Verma"/>
    <x v="0"/>
    <s v="India"/>
    <x v="3"/>
    <x v="2"/>
    <x v="0"/>
    <x v="2"/>
    <s v="Mobile"/>
    <x v="2"/>
    <n v="27227"/>
    <x v="3"/>
    <n v="0.2"/>
    <x v="294"/>
    <n v="1"/>
    <n v="-2.0000000000000021E-2"/>
    <s v="High Discount"/>
  </r>
  <r>
    <s v="ORD-296"/>
    <x v="204"/>
    <d v="2024-10-04T00:00:00"/>
    <s v="Standard Class"/>
    <s v="CU-286"/>
    <s v="Sunil Kumar"/>
    <x v="2"/>
    <s v="India"/>
    <x v="2"/>
    <x v="0"/>
    <x v="2"/>
    <x v="2"/>
    <s v="Paper"/>
    <x v="3"/>
    <n v="47651"/>
    <x v="6"/>
    <n v="0"/>
    <x v="295"/>
    <n v="4"/>
    <n v="0.18"/>
    <s v="Low Discount"/>
  </r>
  <r>
    <s v="ORD-297"/>
    <x v="0"/>
    <d v="2024-02-20T00:00:00"/>
    <s v="Standard Class"/>
    <s v="CU-811"/>
    <s v="Pooja Yadav"/>
    <x v="0"/>
    <s v="India"/>
    <x v="2"/>
    <x v="3"/>
    <x v="1"/>
    <x v="2"/>
    <s v="Laptop"/>
    <x v="5"/>
    <n v="16677"/>
    <x v="2"/>
    <n v="0.1"/>
    <x v="296"/>
    <n v="5"/>
    <n v="7.9999999999999988E-2"/>
    <s v="Low Discount"/>
  </r>
  <r>
    <s v="ORD-298"/>
    <x v="205"/>
    <d v="2024-06-16T00:00:00"/>
    <s v="Standard Class"/>
    <s v="CU-713"/>
    <s v="Ravi Mehta"/>
    <x v="2"/>
    <s v="India"/>
    <x v="0"/>
    <x v="1"/>
    <x v="1"/>
    <x v="1"/>
    <s v="Paper"/>
    <x v="5"/>
    <n v="55581"/>
    <x v="8"/>
    <n v="0"/>
    <x v="297"/>
    <n v="2"/>
    <n v="0.18"/>
    <s v="Low Discount"/>
  </r>
  <r>
    <s v="ORD-299"/>
    <x v="161"/>
    <d v="2024-03-06T00:00:00"/>
    <s v="Standard Class"/>
    <s v="CU-321"/>
    <s v="Neha Gupta"/>
    <x v="1"/>
    <s v="India"/>
    <x v="2"/>
    <x v="2"/>
    <x v="4"/>
    <x v="2"/>
    <s v="Chair"/>
    <x v="2"/>
    <n v="34903"/>
    <x v="4"/>
    <n v="0.2"/>
    <x v="298"/>
    <n v="3"/>
    <n v="-2.0000000000000018E-2"/>
    <s v="High Discount"/>
  </r>
  <r>
    <s v="ORD-300"/>
    <x v="206"/>
    <d v="2024-01-17T00:00:00"/>
    <s v="Standard Class"/>
    <s v="CU-826"/>
    <s v="Amit Verma"/>
    <x v="1"/>
    <s v="India"/>
    <x v="1"/>
    <x v="0"/>
    <x v="0"/>
    <x v="1"/>
    <s v="Chair"/>
    <x v="0"/>
    <n v="19322"/>
    <x v="2"/>
    <n v="0.3"/>
    <x v="299"/>
    <n v="2"/>
    <n v="-0.12"/>
    <s v="High Discount"/>
  </r>
  <r>
    <s v="ORD-301"/>
    <x v="6"/>
    <d v="2024-12-13T00:00:00"/>
    <s v="Standard Class"/>
    <s v="CU-521"/>
    <s v="Amit Verma"/>
    <x v="0"/>
    <s v="India"/>
    <x v="1"/>
    <x v="2"/>
    <x v="0"/>
    <x v="1"/>
    <s v="Table"/>
    <x v="1"/>
    <n v="10620"/>
    <x v="9"/>
    <n v="0"/>
    <x v="300"/>
    <n v="2"/>
    <n v="0.18"/>
    <s v="Low Discount"/>
  </r>
  <r>
    <s v="ORD-302"/>
    <x v="132"/>
    <d v="2024-10-08T00:00:00"/>
    <s v="Standard Class"/>
    <s v="CU-729"/>
    <s v="Ravi Mehta"/>
    <x v="2"/>
    <s v="India"/>
    <x v="3"/>
    <x v="3"/>
    <x v="5"/>
    <x v="1"/>
    <s v="Mobile"/>
    <x v="4"/>
    <n v="4328"/>
    <x v="1"/>
    <n v="0.3"/>
    <x v="301"/>
    <n v="0"/>
    <n v="-0.12000000000000001"/>
    <s v="High Discount"/>
  </r>
  <r>
    <s v="ORD-303"/>
    <x v="207"/>
    <d v="2024-05-05T00:00:00"/>
    <s v="Same Day"/>
    <s v="CU-205"/>
    <s v="Sunil Kumar"/>
    <x v="2"/>
    <s v="India"/>
    <x v="2"/>
    <x v="5"/>
    <x v="1"/>
    <x v="2"/>
    <s v="Paper"/>
    <x v="5"/>
    <n v="50068"/>
    <x v="9"/>
    <n v="0.05"/>
    <x v="302"/>
    <n v="1"/>
    <n v="0.13"/>
    <s v="Low Discount"/>
  </r>
  <r>
    <s v="ORD-304"/>
    <x v="207"/>
    <d v="2024-05-05T00:00:00"/>
    <s v="Same Day"/>
    <s v="CU-744"/>
    <s v="Arjun Malhotra"/>
    <x v="0"/>
    <s v="India"/>
    <x v="0"/>
    <x v="4"/>
    <x v="3"/>
    <x v="0"/>
    <s v="Paper"/>
    <x v="4"/>
    <n v="12225"/>
    <x v="3"/>
    <n v="0.2"/>
    <x v="303"/>
    <n v="1"/>
    <n v="-2.0000000000000018E-2"/>
    <s v="High Discount"/>
  </r>
  <r>
    <s v="ORD-305"/>
    <x v="55"/>
    <d v="2024-09-25T00:00:00"/>
    <s v="Standard Class"/>
    <s v="CU-836"/>
    <s v="Neha Gupta"/>
    <x v="2"/>
    <s v="India"/>
    <x v="2"/>
    <x v="0"/>
    <x v="2"/>
    <x v="2"/>
    <s v="Table"/>
    <x v="5"/>
    <n v="28623"/>
    <x v="5"/>
    <n v="0.1"/>
    <x v="304"/>
    <n v="4"/>
    <n v="7.9999999999999988E-2"/>
    <s v="Low Discount"/>
  </r>
  <r>
    <s v="ORD-306"/>
    <x v="64"/>
    <d v="2024-04-15T00:00:00"/>
    <s v="Second Class"/>
    <s v="CU-106"/>
    <s v="Sunil Kumar"/>
    <x v="2"/>
    <s v="India"/>
    <x v="3"/>
    <x v="0"/>
    <x v="4"/>
    <x v="0"/>
    <s v="Paper"/>
    <x v="3"/>
    <n v="31816"/>
    <x v="7"/>
    <n v="0.05"/>
    <x v="305"/>
    <n v="4"/>
    <n v="0.13"/>
    <s v="Low Discount"/>
  </r>
  <r>
    <s v="ORD-307"/>
    <x v="208"/>
    <d v="2024-03-30T00:00:00"/>
    <s v="Same Day"/>
    <s v="CU-243"/>
    <s v="Sunil Kumar"/>
    <x v="1"/>
    <s v="India"/>
    <x v="3"/>
    <x v="5"/>
    <x v="1"/>
    <x v="2"/>
    <s v="Paper"/>
    <x v="1"/>
    <n v="7072"/>
    <x v="1"/>
    <n v="0.3"/>
    <x v="306"/>
    <n v="3"/>
    <n v="-0.12"/>
    <s v="High Discount"/>
  </r>
  <r>
    <s v="ORD-308"/>
    <x v="209"/>
    <d v="2024-01-18T00:00:00"/>
    <s v="Same Day"/>
    <s v="CU-987"/>
    <s v="Priya Singh"/>
    <x v="2"/>
    <s v="India"/>
    <x v="1"/>
    <x v="1"/>
    <x v="0"/>
    <x v="1"/>
    <s v="Mobile"/>
    <x v="3"/>
    <n v="28086"/>
    <x v="6"/>
    <n v="0.05"/>
    <x v="307"/>
    <n v="0"/>
    <n v="0.13"/>
    <s v="Low Discount"/>
  </r>
  <r>
    <s v="ORD-309"/>
    <x v="177"/>
    <d v="2024-12-08T00:00:00"/>
    <s v="Second Class"/>
    <s v="CU-477"/>
    <s v="Rahul Sharma"/>
    <x v="2"/>
    <s v="India"/>
    <x v="1"/>
    <x v="1"/>
    <x v="3"/>
    <x v="2"/>
    <s v="Laptop"/>
    <x v="5"/>
    <n v="14087"/>
    <x v="2"/>
    <n v="0.2"/>
    <x v="308"/>
    <n v="3"/>
    <n v="-2.0000000000000018E-2"/>
    <s v="High Discount"/>
  </r>
  <r>
    <s v="ORD-310"/>
    <x v="174"/>
    <d v="2024-12-19T00:00:00"/>
    <s v="Same Day"/>
    <s v="CU-490"/>
    <s v="Ravi Mehta"/>
    <x v="0"/>
    <s v="India"/>
    <x v="3"/>
    <x v="2"/>
    <x v="5"/>
    <x v="0"/>
    <s v="Laptop"/>
    <x v="3"/>
    <n v="52275"/>
    <x v="8"/>
    <n v="0"/>
    <x v="309"/>
    <n v="1"/>
    <n v="0.18"/>
    <s v="Low Discount"/>
  </r>
  <r>
    <s v="ORD-311"/>
    <x v="59"/>
    <d v="2024-07-27T00:00:00"/>
    <s v="Standard Class"/>
    <s v="CU-239"/>
    <s v="Rahul Sharma"/>
    <x v="1"/>
    <s v="India"/>
    <x v="3"/>
    <x v="2"/>
    <x v="4"/>
    <x v="2"/>
    <s v="Mobile"/>
    <x v="4"/>
    <n v="32381"/>
    <x v="4"/>
    <n v="0.1"/>
    <x v="310"/>
    <n v="1"/>
    <n v="7.9999999999999988E-2"/>
    <s v="Low Discount"/>
  </r>
  <r>
    <s v="ORD-312"/>
    <x v="89"/>
    <d v="2024-11-03T00:00:00"/>
    <s v="Standard Class"/>
    <s v="CU-173"/>
    <s v="Arjun Malhotra"/>
    <x v="0"/>
    <s v="India"/>
    <x v="2"/>
    <x v="1"/>
    <x v="1"/>
    <x v="0"/>
    <s v="Laptop"/>
    <x v="5"/>
    <n v="49587"/>
    <x v="9"/>
    <n v="0.3"/>
    <x v="311"/>
    <n v="3"/>
    <n v="-0.12"/>
    <s v="High Discount"/>
  </r>
  <r>
    <s v="ORD-313"/>
    <x v="210"/>
    <d v="2024-01-31T00:00:00"/>
    <s v="Second Class"/>
    <s v="CU-974"/>
    <s v="Neha Gupta"/>
    <x v="1"/>
    <s v="India"/>
    <x v="1"/>
    <x v="3"/>
    <x v="4"/>
    <x v="2"/>
    <s v="Table"/>
    <x v="5"/>
    <n v="593"/>
    <x v="8"/>
    <n v="0.05"/>
    <x v="312"/>
    <n v="4"/>
    <n v="0.13"/>
    <s v="Low Discount"/>
  </r>
  <r>
    <s v="ORD-314"/>
    <x v="211"/>
    <d v="2024-02-17T00:00:00"/>
    <s v="Second Class"/>
    <s v="CU-711"/>
    <s v="Ravi Mehta"/>
    <x v="1"/>
    <s v="India"/>
    <x v="1"/>
    <x v="5"/>
    <x v="0"/>
    <x v="0"/>
    <s v="Chair"/>
    <x v="5"/>
    <n v="45377"/>
    <x v="3"/>
    <n v="0.05"/>
    <x v="313"/>
    <n v="1"/>
    <n v="0.13"/>
    <s v="Low Discount"/>
  </r>
  <r>
    <s v="ORD-315"/>
    <x v="148"/>
    <d v="2024-09-21T00:00:00"/>
    <s v="Second Class"/>
    <s v="CU-131"/>
    <s v="Neha Gupta"/>
    <x v="0"/>
    <s v="India"/>
    <x v="1"/>
    <x v="2"/>
    <x v="0"/>
    <x v="2"/>
    <s v="Chair"/>
    <x v="0"/>
    <n v="55961"/>
    <x v="8"/>
    <n v="0.2"/>
    <x v="314"/>
    <n v="1"/>
    <n v="-2.0000000000000018E-2"/>
    <s v="High Discount"/>
  </r>
  <r>
    <s v="ORD-316"/>
    <x v="74"/>
    <d v="2024-12-26T00:00:00"/>
    <s v="Same Day"/>
    <s v="CU-645"/>
    <s v="Sunil Kumar"/>
    <x v="2"/>
    <s v="India"/>
    <x v="2"/>
    <x v="1"/>
    <x v="4"/>
    <x v="0"/>
    <s v="Paper"/>
    <x v="4"/>
    <n v="10583"/>
    <x v="2"/>
    <n v="0.2"/>
    <x v="315"/>
    <n v="5"/>
    <n v="-2.0000000000000018E-2"/>
    <s v="High Discount"/>
  </r>
  <r>
    <s v="ORD-317"/>
    <x v="101"/>
    <d v="2024-09-10T00:00:00"/>
    <s v="Standard Class"/>
    <s v="CU-393"/>
    <s v="Amit Verma"/>
    <x v="0"/>
    <s v="India"/>
    <x v="2"/>
    <x v="1"/>
    <x v="0"/>
    <x v="1"/>
    <s v="Paper"/>
    <x v="4"/>
    <n v="56818"/>
    <x v="9"/>
    <n v="0.3"/>
    <x v="316"/>
    <n v="5"/>
    <n v="-0.12"/>
    <s v="High Discount"/>
  </r>
  <r>
    <s v="ORD-318"/>
    <x v="183"/>
    <d v="2024-01-30T00:00:00"/>
    <s v="Same Day"/>
    <s v="CU-379"/>
    <s v="Priya Singh"/>
    <x v="0"/>
    <s v="India"/>
    <x v="0"/>
    <x v="0"/>
    <x v="5"/>
    <x v="1"/>
    <s v="Paper"/>
    <x v="1"/>
    <n v="5960"/>
    <x v="8"/>
    <n v="0"/>
    <x v="317"/>
    <n v="0"/>
    <n v="0.18"/>
    <s v="Low Discount"/>
  </r>
  <r>
    <s v="ORD-319"/>
    <x v="212"/>
    <d v="2024-04-27T00:00:00"/>
    <s v="Second Class"/>
    <s v="CU-669"/>
    <s v="Neha Gupta"/>
    <x v="1"/>
    <s v="India"/>
    <x v="2"/>
    <x v="1"/>
    <x v="1"/>
    <x v="0"/>
    <s v="Paper"/>
    <x v="2"/>
    <n v="953"/>
    <x v="2"/>
    <n v="0.1"/>
    <x v="318"/>
    <n v="4"/>
    <n v="7.9999999999999988E-2"/>
    <s v="Low Discount"/>
  </r>
  <r>
    <s v="ORD-320"/>
    <x v="190"/>
    <d v="2024-08-17T00:00:00"/>
    <s v="Second Class"/>
    <s v="CU-342"/>
    <s v="Priya Singh"/>
    <x v="1"/>
    <s v="India"/>
    <x v="2"/>
    <x v="0"/>
    <x v="3"/>
    <x v="1"/>
    <s v="Paper"/>
    <x v="5"/>
    <n v="8729"/>
    <x v="6"/>
    <n v="0.2"/>
    <x v="319"/>
    <n v="2"/>
    <n v="-2.0000000000000018E-2"/>
    <s v="High Discount"/>
  </r>
  <r>
    <s v="ORD-321"/>
    <x v="82"/>
    <d v="2024-07-24T00:00:00"/>
    <s v="Same Day"/>
    <s v="CU-342"/>
    <s v="Sunil Kumar"/>
    <x v="1"/>
    <s v="India"/>
    <x v="3"/>
    <x v="5"/>
    <x v="1"/>
    <x v="0"/>
    <s v="Chair"/>
    <x v="2"/>
    <n v="49733"/>
    <x v="0"/>
    <n v="0.05"/>
    <x v="320"/>
    <n v="0"/>
    <n v="0.13"/>
    <s v="Low Discount"/>
  </r>
  <r>
    <s v="ORD-322"/>
    <x v="52"/>
    <d v="2024-09-30T00:00:00"/>
    <s v="Standard Class"/>
    <s v="CU-418"/>
    <s v="Pooja Yadav"/>
    <x v="1"/>
    <s v="India"/>
    <x v="0"/>
    <x v="0"/>
    <x v="5"/>
    <x v="0"/>
    <s v="Table"/>
    <x v="5"/>
    <n v="40076"/>
    <x v="2"/>
    <n v="0.3"/>
    <x v="321"/>
    <n v="1"/>
    <n v="-0.12"/>
    <s v="High Discount"/>
  </r>
  <r>
    <s v="ORD-323"/>
    <x v="138"/>
    <d v="2024-09-29T00:00:00"/>
    <s v="Standard Class"/>
    <s v="CU-180"/>
    <s v="Neha Gupta"/>
    <x v="0"/>
    <s v="India"/>
    <x v="0"/>
    <x v="3"/>
    <x v="5"/>
    <x v="2"/>
    <s v="Mobile"/>
    <x v="1"/>
    <n v="47337"/>
    <x v="5"/>
    <n v="0.3"/>
    <x v="322"/>
    <n v="2"/>
    <n v="-0.12"/>
    <s v="High Discount"/>
  </r>
  <r>
    <s v="ORD-324"/>
    <x v="77"/>
    <d v="2024-10-10T00:00:00"/>
    <s v="Same Day"/>
    <s v="CU-571"/>
    <s v="Rahul Sharma"/>
    <x v="1"/>
    <s v="India"/>
    <x v="1"/>
    <x v="2"/>
    <x v="3"/>
    <x v="0"/>
    <s v="Table"/>
    <x v="2"/>
    <n v="23908"/>
    <x v="7"/>
    <n v="0"/>
    <x v="323"/>
    <n v="5"/>
    <n v="0.18"/>
    <s v="Low Discount"/>
  </r>
  <r>
    <s v="ORD-325"/>
    <x v="1"/>
    <d v="2024-05-29T00:00:00"/>
    <s v="Same Day"/>
    <s v="CU-253"/>
    <s v="Neha Gupta"/>
    <x v="2"/>
    <s v="India"/>
    <x v="3"/>
    <x v="4"/>
    <x v="0"/>
    <x v="0"/>
    <s v="Table"/>
    <x v="2"/>
    <n v="6826"/>
    <x v="0"/>
    <n v="0.1"/>
    <x v="324"/>
    <n v="2"/>
    <n v="7.9999999999999988E-2"/>
    <s v="Low Discount"/>
  </r>
  <r>
    <s v="ORD-326"/>
    <x v="161"/>
    <d v="2024-03-06T00:00:00"/>
    <s v="Second Class"/>
    <s v="CU-137"/>
    <s v="Ravi Mehta"/>
    <x v="2"/>
    <s v="India"/>
    <x v="2"/>
    <x v="5"/>
    <x v="5"/>
    <x v="1"/>
    <s v="Chair"/>
    <x v="4"/>
    <n v="1385"/>
    <x v="5"/>
    <n v="0.3"/>
    <x v="325"/>
    <n v="3"/>
    <n v="-0.12"/>
    <s v="High Discount"/>
  </r>
  <r>
    <s v="ORD-327"/>
    <x v="199"/>
    <d v="2024-07-05T00:00:00"/>
    <s v="Standard Class"/>
    <s v="CU-753"/>
    <s v="Ravi Mehta"/>
    <x v="2"/>
    <s v="India"/>
    <x v="3"/>
    <x v="2"/>
    <x v="5"/>
    <x v="0"/>
    <s v="Table"/>
    <x v="3"/>
    <n v="21377"/>
    <x v="6"/>
    <n v="0"/>
    <x v="326"/>
    <n v="3"/>
    <n v="0.18"/>
    <s v="Low Discount"/>
  </r>
  <r>
    <s v="ORD-328"/>
    <x v="178"/>
    <d v="2024-07-01T00:00:00"/>
    <s v="Second Class"/>
    <s v="CU-242"/>
    <s v="Rahul Sharma"/>
    <x v="1"/>
    <s v="India"/>
    <x v="0"/>
    <x v="5"/>
    <x v="3"/>
    <x v="2"/>
    <s v="Chair"/>
    <x v="4"/>
    <n v="10827"/>
    <x v="6"/>
    <n v="0.1"/>
    <x v="327"/>
    <n v="3"/>
    <n v="7.9999999999999988E-2"/>
    <s v="Low Discount"/>
  </r>
  <r>
    <s v="ORD-329"/>
    <x v="188"/>
    <d v="2024-08-12T00:00:00"/>
    <s v="Second Class"/>
    <s v="CU-593"/>
    <s v="Amit Verma"/>
    <x v="2"/>
    <s v="India"/>
    <x v="1"/>
    <x v="2"/>
    <x v="0"/>
    <x v="1"/>
    <s v="Laptop"/>
    <x v="1"/>
    <n v="34759"/>
    <x v="3"/>
    <n v="0.3"/>
    <x v="328"/>
    <n v="5"/>
    <n v="-0.12"/>
    <s v="High Discount"/>
  </r>
  <r>
    <s v="ORD-330"/>
    <x v="19"/>
    <d v="2024-11-18T00:00:00"/>
    <s v="Same Day"/>
    <s v="CU-559"/>
    <s v="Neha Gupta"/>
    <x v="0"/>
    <s v="India"/>
    <x v="0"/>
    <x v="0"/>
    <x v="0"/>
    <x v="2"/>
    <s v="Table"/>
    <x v="1"/>
    <n v="7744"/>
    <x v="5"/>
    <n v="0.1"/>
    <x v="329"/>
    <n v="4"/>
    <n v="7.9999999999999988E-2"/>
    <s v="Low Discount"/>
  </r>
  <r>
    <s v="ORD-331"/>
    <x v="213"/>
    <d v="2024-09-07T00:00:00"/>
    <s v="Standard Class"/>
    <s v="CU-844"/>
    <s v="Amit Verma"/>
    <x v="2"/>
    <s v="India"/>
    <x v="2"/>
    <x v="2"/>
    <x v="5"/>
    <x v="1"/>
    <s v="Laptop"/>
    <x v="0"/>
    <n v="50741"/>
    <x v="2"/>
    <n v="0.1"/>
    <x v="330"/>
    <n v="5"/>
    <n v="7.9999999999999988E-2"/>
    <s v="Low Discount"/>
  </r>
  <r>
    <s v="ORD-332"/>
    <x v="214"/>
    <d v="2024-12-06T00:00:00"/>
    <s v="Same Day"/>
    <s v="CU-313"/>
    <s v="Neha Gupta"/>
    <x v="1"/>
    <s v="India"/>
    <x v="2"/>
    <x v="2"/>
    <x v="5"/>
    <x v="0"/>
    <s v="Laptop"/>
    <x v="5"/>
    <n v="59955"/>
    <x v="1"/>
    <n v="0.05"/>
    <x v="331"/>
    <n v="4"/>
    <n v="0.13"/>
    <s v="Low Discount"/>
  </r>
  <r>
    <s v="ORD-333"/>
    <x v="169"/>
    <d v="2024-04-27T00:00:00"/>
    <s v="Second Class"/>
    <s v="CU-253"/>
    <s v="Pooja Yadav"/>
    <x v="1"/>
    <s v="India"/>
    <x v="3"/>
    <x v="4"/>
    <x v="3"/>
    <x v="2"/>
    <s v="Mobile"/>
    <x v="4"/>
    <n v="19333"/>
    <x v="6"/>
    <n v="0.3"/>
    <x v="332"/>
    <n v="5"/>
    <n v="-0.12"/>
    <s v="High Discount"/>
  </r>
  <r>
    <s v="ORD-334"/>
    <x v="55"/>
    <d v="2024-09-21T00:00:00"/>
    <s v="Standard Class"/>
    <s v="CU-337"/>
    <s v="Rahul Sharma"/>
    <x v="0"/>
    <s v="India"/>
    <x v="0"/>
    <x v="1"/>
    <x v="5"/>
    <x v="0"/>
    <s v="Mobile"/>
    <x v="1"/>
    <n v="53060"/>
    <x v="9"/>
    <n v="0"/>
    <x v="333"/>
    <n v="0"/>
    <n v="0.18"/>
    <s v="Low Discount"/>
  </r>
  <r>
    <s v="ORD-335"/>
    <x v="120"/>
    <d v="2024-05-12T00:00:00"/>
    <s v="Standard Class"/>
    <s v="CU-832"/>
    <s v="Priya Singh"/>
    <x v="0"/>
    <s v="India"/>
    <x v="0"/>
    <x v="0"/>
    <x v="1"/>
    <x v="2"/>
    <s v="Mobile"/>
    <x v="0"/>
    <n v="49536"/>
    <x v="7"/>
    <n v="0.05"/>
    <x v="334"/>
    <n v="3"/>
    <n v="0.13"/>
    <s v="Low Discount"/>
  </r>
  <r>
    <s v="ORD-336"/>
    <x v="197"/>
    <d v="2024-09-25T00:00:00"/>
    <s v="Second Class"/>
    <s v="CU-139"/>
    <s v="Amit Verma"/>
    <x v="2"/>
    <s v="India"/>
    <x v="0"/>
    <x v="5"/>
    <x v="2"/>
    <x v="1"/>
    <s v="Mobile"/>
    <x v="1"/>
    <n v="15295"/>
    <x v="7"/>
    <n v="0.05"/>
    <x v="335"/>
    <n v="3"/>
    <n v="0.13"/>
    <s v="Low Discount"/>
  </r>
  <r>
    <s v="ORD-337"/>
    <x v="215"/>
    <d v="2024-02-24T00:00:00"/>
    <s v="Same Day"/>
    <s v="CU-210"/>
    <s v="Rahul Sharma"/>
    <x v="0"/>
    <s v="India"/>
    <x v="0"/>
    <x v="4"/>
    <x v="2"/>
    <x v="1"/>
    <s v="Mobile"/>
    <x v="0"/>
    <n v="53261"/>
    <x v="9"/>
    <n v="0"/>
    <x v="336"/>
    <n v="2"/>
    <n v="0.18"/>
    <s v="Low Discount"/>
  </r>
  <r>
    <s v="ORD-338"/>
    <x v="216"/>
    <d v="2024-01-19T00:00:00"/>
    <s v="Second Class"/>
    <s v="CU-260"/>
    <s v="Sunil Kumar"/>
    <x v="1"/>
    <s v="India"/>
    <x v="1"/>
    <x v="5"/>
    <x v="3"/>
    <x v="2"/>
    <s v="Paper"/>
    <x v="3"/>
    <n v="58638"/>
    <x v="6"/>
    <n v="0.05"/>
    <x v="337"/>
    <n v="2"/>
    <n v="0.13"/>
    <s v="Low Discount"/>
  </r>
  <r>
    <s v="ORD-339"/>
    <x v="217"/>
    <d v="2024-04-28T00:00:00"/>
    <s v="Second Class"/>
    <s v="CU-741"/>
    <s v="Priya Singh"/>
    <x v="1"/>
    <s v="India"/>
    <x v="0"/>
    <x v="0"/>
    <x v="4"/>
    <x v="2"/>
    <s v="Paper"/>
    <x v="2"/>
    <n v="25404"/>
    <x v="3"/>
    <n v="0.1"/>
    <x v="338"/>
    <n v="4"/>
    <n v="7.9999999999999988E-2"/>
    <s v="Low Discount"/>
  </r>
  <r>
    <s v="ORD-340"/>
    <x v="163"/>
    <d v="2024-07-04T00:00:00"/>
    <s v="Same Day"/>
    <s v="CU-590"/>
    <s v="Priya Singh"/>
    <x v="2"/>
    <s v="India"/>
    <x v="1"/>
    <x v="2"/>
    <x v="0"/>
    <x v="2"/>
    <s v="Table"/>
    <x v="5"/>
    <n v="51229"/>
    <x v="0"/>
    <n v="0"/>
    <x v="339"/>
    <n v="4"/>
    <n v="0.18"/>
    <s v="Low Discount"/>
  </r>
  <r>
    <s v="ORD-341"/>
    <x v="68"/>
    <d v="2024-06-03T00:00:00"/>
    <s v="Standard Class"/>
    <s v="CU-858"/>
    <s v="Amit Verma"/>
    <x v="2"/>
    <s v="India"/>
    <x v="2"/>
    <x v="4"/>
    <x v="5"/>
    <x v="0"/>
    <s v="Chair"/>
    <x v="2"/>
    <n v="47212"/>
    <x v="5"/>
    <n v="0.05"/>
    <x v="340"/>
    <n v="2"/>
    <n v="0.13"/>
    <s v="Low Discount"/>
  </r>
  <r>
    <s v="ORD-342"/>
    <x v="218"/>
    <d v="2024-03-22T00:00:00"/>
    <s v="Second Class"/>
    <s v="CU-805"/>
    <s v="Neha Gupta"/>
    <x v="1"/>
    <s v="India"/>
    <x v="0"/>
    <x v="4"/>
    <x v="4"/>
    <x v="0"/>
    <s v="Table"/>
    <x v="0"/>
    <n v="5293"/>
    <x v="8"/>
    <n v="0.05"/>
    <x v="341"/>
    <n v="5"/>
    <n v="0.13"/>
    <s v="Low Discount"/>
  </r>
  <r>
    <s v="ORD-343"/>
    <x v="165"/>
    <d v="2024-09-17T00:00:00"/>
    <s v="Second Class"/>
    <s v="CU-469"/>
    <s v="Amit Verma"/>
    <x v="2"/>
    <s v="India"/>
    <x v="0"/>
    <x v="2"/>
    <x v="5"/>
    <x v="0"/>
    <s v="Laptop"/>
    <x v="4"/>
    <n v="49578"/>
    <x v="2"/>
    <n v="0.05"/>
    <x v="342"/>
    <n v="1"/>
    <n v="0.13"/>
    <s v="Low Discount"/>
  </r>
  <r>
    <s v="ORD-344"/>
    <x v="69"/>
    <d v="2024-11-01T00:00:00"/>
    <s v="Standard Class"/>
    <s v="CU-822"/>
    <s v="Pooja Yadav"/>
    <x v="1"/>
    <s v="India"/>
    <x v="1"/>
    <x v="2"/>
    <x v="5"/>
    <x v="0"/>
    <s v="Laptop"/>
    <x v="4"/>
    <n v="19347"/>
    <x v="6"/>
    <n v="0.2"/>
    <x v="343"/>
    <n v="0"/>
    <n v="-2.0000000000000018E-2"/>
    <s v="High Discount"/>
  </r>
  <r>
    <s v="ORD-345"/>
    <x v="164"/>
    <d v="2024-03-27T00:00:00"/>
    <s v="Second Class"/>
    <s v="CU-749"/>
    <s v="Priya Singh"/>
    <x v="2"/>
    <s v="India"/>
    <x v="1"/>
    <x v="2"/>
    <x v="0"/>
    <x v="2"/>
    <s v="Laptop"/>
    <x v="3"/>
    <n v="4652"/>
    <x v="1"/>
    <n v="0.05"/>
    <x v="344"/>
    <n v="4"/>
    <n v="0.13"/>
    <s v="Low Discount"/>
  </r>
  <r>
    <s v="ORD-346"/>
    <x v="203"/>
    <d v="2024-12-03T00:00:00"/>
    <s v="Same Day"/>
    <s v="CU-558"/>
    <s v="Priya Singh"/>
    <x v="2"/>
    <s v="India"/>
    <x v="3"/>
    <x v="5"/>
    <x v="2"/>
    <x v="2"/>
    <s v="Chair"/>
    <x v="5"/>
    <n v="47068"/>
    <x v="5"/>
    <n v="0.05"/>
    <x v="345"/>
    <n v="0"/>
    <n v="0.13"/>
    <s v="Low Discount"/>
  </r>
  <r>
    <s v="ORD-347"/>
    <x v="219"/>
    <d v="2024-12-03T00:00:00"/>
    <s v="Same Day"/>
    <s v="CU-674"/>
    <s v="Pooja Yadav"/>
    <x v="0"/>
    <s v="India"/>
    <x v="2"/>
    <x v="3"/>
    <x v="2"/>
    <x v="0"/>
    <s v="Chair"/>
    <x v="1"/>
    <n v="43346"/>
    <x v="4"/>
    <n v="0"/>
    <x v="346"/>
    <n v="5"/>
    <n v="0.18"/>
    <s v="Low Discount"/>
  </r>
  <r>
    <s v="ORD-348"/>
    <x v="214"/>
    <d v="2024-12-04T00:00:00"/>
    <s v="Standard Class"/>
    <s v="CU-695"/>
    <s v="Neha Gupta"/>
    <x v="0"/>
    <s v="India"/>
    <x v="3"/>
    <x v="0"/>
    <x v="2"/>
    <x v="0"/>
    <s v="Chair"/>
    <x v="0"/>
    <n v="54060"/>
    <x v="2"/>
    <n v="0.3"/>
    <x v="347"/>
    <n v="2"/>
    <n v="-0.12"/>
    <s v="High Discount"/>
  </r>
  <r>
    <s v="ORD-349"/>
    <x v="142"/>
    <d v="2024-08-28T00:00:00"/>
    <s v="Second Class"/>
    <s v="CU-863"/>
    <s v="Amit Verma"/>
    <x v="2"/>
    <s v="India"/>
    <x v="1"/>
    <x v="3"/>
    <x v="3"/>
    <x v="1"/>
    <s v="Mobile"/>
    <x v="3"/>
    <n v="20952"/>
    <x v="9"/>
    <n v="0.05"/>
    <x v="348"/>
    <n v="3"/>
    <n v="0.13"/>
    <s v="Low Discount"/>
  </r>
  <r>
    <s v="ORD-350"/>
    <x v="123"/>
    <d v="2024-01-08T00:00:00"/>
    <s v="Second Class"/>
    <s v="CU-693"/>
    <s v="Neha Gupta"/>
    <x v="1"/>
    <s v="India"/>
    <x v="1"/>
    <x v="0"/>
    <x v="2"/>
    <x v="2"/>
    <s v="Table"/>
    <x v="5"/>
    <n v="25754"/>
    <x v="7"/>
    <n v="0.2"/>
    <x v="349"/>
    <n v="5"/>
    <n v="-2.0000000000000018E-2"/>
    <s v="High Discount"/>
  </r>
  <r>
    <s v="ORD-351"/>
    <x v="138"/>
    <d v="2024-09-27T00:00:00"/>
    <s v="Second Class"/>
    <s v="CU-104"/>
    <s v="Ravi Mehta"/>
    <x v="2"/>
    <s v="India"/>
    <x v="2"/>
    <x v="2"/>
    <x v="1"/>
    <x v="0"/>
    <s v="Laptop"/>
    <x v="4"/>
    <n v="42280"/>
    <x v="3"/>
    <n v="0.1"/>
    <x v="350"/>
    <n v="0"/>
    <n v="7.9999999999999988E-2"/>
    <s v="Low Discount"/>
  </r>
  <r>
    <s v="ORD-352"/>
    <x v="220"/>
    <d v="2024-07-29T00:00:00"/>
    <s v="Second Class"/>
    <s v="CU-713"/>
    <s v="Priya Singh"/>
    <x v="0"/>
    <s v="India"/>
    <x v="0"/>
    <x v="3"/>
    <x v="4"/>
    <x v="2"/>
    <s v="Mobile"/>
    <x v="3"/>
    <n v="11037"/>
    <x v="2"/>
    <n v="0.2"/>
    <x v="351"/>
    <n v="2"/>
    <n v="-2.0000000000000018E-2"/>
    <s v="High Discount"/>
  </r>
  <r>
    <s v="ORD-353"/>
    <x v="221"/>
    <d v="2024-09-30T00:00:00"/>
    <s v="Same Day"/>
    <s v="CU-734"/>
    <s v="Pooja Yadav"/>
    <x v="1"/>
    <s v="India"/>
    <x v="1"/>
    <x v="0"/>
    <x v="0"/>
    <x v="1"/>
    <s v="Paper"/>
    <x v="5"/>
    <n v="31499"/>
    <x v="9"/>
    <n v="0.2"/>
    <x v="352"/>
    <n v="5"/>
    <n v="-2.0000000000000018E-2"/>
    <s v="High Discount"/>
  </r>
  <r>
    <s v="ORD-354"/>
    <x v="222"/>
    <d v="2024-06-22T00:00:00"/>
    <s v="Second Class"/>
    <s v="CU-983"/>
    <s v="Amit Verma"/>
    <x v="1"/>
    <s v="India"/>
    <x v="1"/>
    <x v="2"/>
    <x v="4"/>
    <x v="2"/>
    <s v="Table"/>
    <x v="5"/>
    <n v="59356"/>
    <x v="1"/>
    <n v="0.05"/>
    <x v="353"/>
    <n v="1"/>
    <n v="0.13"/>
    <s v="Low Discount"/>
  </r>
  <r>
    <s v="ORD-355"/>
    <x v="140"/>
    <d v="2024-01-29T00:00:00"/>
    <s v="Same Day"/>
    <s v="CU-858"/>
    <s v="Amit Verma"/>
    <x v="0"/>
    <s v="India"/>
    <x v="0"/>
    <x v="3"/>
    <x v="2"/>
    <x v="0"/>
    <s v="Mobile"/>
    <x v="1"/>
    <n v="21762"/>
    <x v="1"/>
    <n v="0.3"/>
    <x v="354"/>
    <n v="0"/>
    <n v="-0.12000000000000001"/>
    <s v="High Discount"/>
  </r>
  <r>
    <s v="ORD-356"/>
    <x v="223"/>
    <d v="2024-11-01T00:00:00"/>
    <s v="Second Class"/>
    <s v="CU-998"/>
    <s v="Ravi Mehta"/>
    <x v="2"/>
    <s v="India"/>
    <x v="2"/>
    <x v="4"/>
    <x v="3"/>
    <x v="2"/>
    <s v="Table"/>
    <x v="1"/>
    <n v="28753"/>
    <x v="4"/>
    <n v="0.2"/>
    <x v="355"/>
    <n v="4"/>
    <n v="-2.0000000000000018E-2"/>
    <s v="High Discount"/>
  </r>
  <r>
    <s v="ORD-357"/>
    <x v="61"/>
    <d v="2024-04-30T00:00:00"/>
    <s v="Second Class"/>
    <s v="CU-220"/>
    <s v="Pooja Yadav"/>
    <x v="1"/>
    <s v="India"/>
    <x v="3"/>
    <x v="0"/>
    <x v="2"/>
    <x v="1"/>
    <s v="Paper"/>
    <x v="1"/>
    <n v="38181"/>
    <x v="3"/>
    <n v="0.05"/>
    <x v="356"/>
    <n v="4"/>
    <n v="0.13"/>
    <s v="Low Discount"/>
  </r>
  <r>
    <s v="ORD-358"/>
    <x v="224"/>
    <d v="2024-12-25T00:00:00"/>
    <s v="Second Class"/>
    <s v="CU-339"/>
    <s v="Priya Singh"/>
    <x v="1"/>
    <s v="India"/>
    <x v="3"/>
    <x v="2"/>
    <x v="4"/>
    <x v="1"/>
    <s v="Mobile"/>
    <x v="1"/>
    <n v="34162"/>
    <x v="9"/>
    <n v="0"/>
    <x v="357"/>
    <n v="3"/>
    <n v="0.18"/>
    <s v="Low Discount"/>
  </r>
  <r>
    <s v="ORD-359"/>
    <x v="40"/>
    <d v="2024-05-04T00:00:00"/>
    <s v="Standard Class"/>
    <s v="CU-976"/>
    <s v="Sunil Kumar"/>
    <x v="0"/>
    <s v="India"/>
    <x v="1"/>
    <x v="4"/>
    <x v="3"/>
    <x v="2"/>
    <s v="Chair"/>
    <x v="4"/>
    <n v="46967"/>
    <x v="2"/>
    <n v="0.3"/>
    <x v="358"/>
    <n v="2"/>
    <n v="-0.12"/>
    <s v="High Discount"/>
  </r>
  <r>
    <s v="ORD-360"/>
    <x v="225"/>
    <d v="2024-12-15T00:00:00"/>
    <s v="Second Class"/>
    <s v="CU-583"/>
    <s v="Arjun Malhotra"/>
    <x v="2"/>
    <s v="India"/>
    <x v="0"/>
    <x v="1"/>
    <x v="3"/>
    <x v="0"/>
    <s v="Mobile"/>
    <x v="3"/>
    <n v="25087"/>
    <x v="2"/>
    <n v="0.3"/>
    <x v="359"/>
    <n v="2"/>
    <n v="-0.12"/>
    <s v="High Discount"/>
  </r>
  <r>
    <s v="ORD-361"/>
    <x v="201"/>
    <d v="2024-06-20T00:00:00"/>
    <s v="Second Class"/>
    <s v="CU-779"/>
    <s v="Ravi Mehta"/>
    <x v="1"/>
    <s v="India"/>
    <x v="3"/>
    <x v="4"/>
    <x v="0"/>
    <x v="1"/>
    <s v="Chair"/>
    <x v="0"/>
    <n v="39905"/>
    <x v="3"/>
    <n v="0.3"/>
    <x v="360"/>
    <n v="0"/>
    <n v="-0.11999999999999998"/>
    <s v="High Discount"/>
  </r>
  <r>
    <s v="ORD-362"/>
    <x v="52"/>
    <d v="2024-10-02T00:00:00"/>
    <s v="Standard Class"/>
    <s v="CU-203"/>
    <s v="Arjun Malhotra"/>
    <x v="0"/>
    <s v="India"/>
    <x v="2"/>
    <x v="2"/>
    <x v="0"/>
    <x v="2"/>
    <s v="Mobile"/>
    <x v="3"/>
    <n v="54283"/>
    <x v="1"/>
    <n v="0.3"/>
    <x v="361"/>
    <n v="3"/>
    <n v="-0.12"/>
    <s v="High Discount"/>
  </r>
  <r>
    <s v="ORD-363"/>
    <x v="91"/>
    <d v="2024-05-03T00:00:00"/>
    <s v="Same Day"/>
    <s v="CU-752"/>
    <s v="Arjun Malhotra"/>
    <x v="0"/>
    <s v="India"/>
    <x v="0"/>
    <x v="4"/>
    <x v="4"/>
    <x v="0"/>
    <s v="Paper"/>
    <x v="0"/>
    <n v="20031"/>
    <x v="6"/>
    <n v="0.2"/>
    <x v="362"/>
    <n v="4"/>
    <n v="-2.0000000000000018E-2"/>
    <s v="High Discount"/>
  </r>
  <r>
    <s v="ORD-364"/>
    <x v="226"/>
    <d v="2024-03-10T00:00:00"/>
    <s v="Same Day"/>
    <s v="CU-143"/>
    <s v="Sunil Kumar"/>
    <x v="1"/>
    <s v="India"/>
    <x v="3"/>
    <x v="2"/>
    <x v="4"/>
    <x v="1"/>
    <s v="Paper"/>
    <x v="0"/>
    <n v="24232"/>
    <x v="6"/>
    <n v="0.2"/>
    <x v="363"/>
    <n v="5"/>
    <n v="-2.0000000000000018E-2"/>
    <s v="High Discount"/>
  </r>
  <r>
    <s v="ORD-365"/>
    <x v="109"/>
    <d v="2024-10-24T00:00:00"/>
    <s v="Standard Class"/>
    <s v="CU-534"/>
    <s v="Priya Singh"/>
    <x v="1"/>
    <s v="India"/>
    <x v="2"/>
    <x v="0"/>
    <x v="2"/>
    <x v="1"/>
    <s v="Paper"/>
    <x v="2"/>
    <n v="24548"/>
    <x v="4"/>
    <n v="0.3"/>
    <x v="364"/>
    <n v="3"/>
    <n v="-0.12"/>
    <s v="High Discount"/>
  </r>
  <r>
    <s v="ORD-366"/>
    <x v="154"/>
    <d v="2024-12-26T00:00:00"/>
    <s v="Same Day"/>
    <s v="CU-712"/>
    <s v="Amit Verma"/>
    <x v="0"/>
    <s v="India"/>
    <x v="2"/>
    <x v="5"/>
    <x v="2"/>
    <x v="0"/>
    <s v="Mobile"/>
    <x v="1"/>
    <n v="39854"/>
    <x v="0"/>
    <n v="0.2"/>
    <x v="365"/>
    <n v="0"/>
    <n v="-2.0000000000000018E-2"/>
    <s v="High Discount"/>
  </r>
  <r>
    <s v="ORD-367"/>
    <x v="167"/>
    <d v="2024-11-07T00:00:00"/>
    <s v="Second Class"/>
    <s v="CU-972"/>
    <s v="Rahul Sharma"/>
    <x v="2"/>
    <s v="India"/>
    <x v="2"/>
    <x v="0"/>
    <x v="5"/>
    <x v="0"/>
    <s v="Laptop"/>
    <x v="2"/>
    <n v="19745"/>
    <x v="3"/>
    <n v="0.05"/>
    <x v="366"/>
    <n v="2"/>
    <n v="0.13"/>
    <s v="Low Discount"/>
  </r>
  <r>
    <s v="ORD-368"/>
    <x v="110"/>
    <d v="2024-10-02T00:00:00"/>
    <s v="Second Class"/>
    <s v="CU-366"/>
    <s v="Priya Singh"/>
    <x v="0"/>
    <s v="India"/>
    <x v="3"/>
    <x v="3"/>
    <x v="2"/>
    <x v="2"/>
    <s v="Table"/>
    <x v="4"/>
    <n v="25532"/>
    <x v="4"/>
    <n v="0"/>
    <x v="367"/>
    <n v="4"/>
    <n v="0.18000000000000002"/>
    <s v="Low Discount"/>
  </r>
  <r>
    <s v="ORD-369"/>
    <x v="227"/>
    <d v="2024-03-10T00:00:00"/>
    <s v="Second Class"/>
    <s v="CU-474"/>
    <s v="Ravi Mehta"/>
    <x v="1"/>
    <s v="India"/>
    <x v="2"/>
    <x v="4"/>
    <x v="2"/>
    <x v="0"/>
    <s v="Paper"/>
    <x v="3"/>
    <n v="24692"/>
    <x v="8"/>
    <n v="0.05"/>
    <x v="368"/>
    <n v="2"/>
    <n v="0.13"/>
    <s v="Low Discount"/>
  </r>
  <r>
    <s v="ORD-370"/>
    <x v="87"/>
    <d v="2024-08-14T00:00:00"/>
    <s v="Second Class"/>
    <s v="CU-261"/>
    <s v="Amit Verma"/>
    <x v="1"/>
    <s v="India"/>
    <x v="2"/>
    <x v="4"/>
    <x v="4"/>
    <x v="2"/>
    <s v="Laptop"/>
    <x v="3"/>
    <n v="47293"/>
    <x v="8"/>
    <n v="0.3"/>
    <x v="369"/>
    <n v="4"/>
    <n v="-0.12"/>
    <s v="High Discount"/>
  </r>
  <r>
    <s v="ORD-371"/>
    <x v="228"/>
    <d v="2024-09-30T00:00:00"/>
    <s v="Second Class"/>
    <s v="CU-617"/>
    <s v="Priya Singh"/>
    <x v="0"/>
    <s v="India"/>
    <x v="0"/>
    <x v="0"/>
    <x v="5"/>
    <x v="2"/>
    <s v="Laptop"/>
    <x v="0"/>
    <n v="24668"/>
    <x v="3"/>
    <n v="0.2"/>
    <x v="370"/>
    <n v="4"/>
    <n v="-2.0000000000000018E-2"/>
    <s v="High Discount"/>
  </r>
  <r>
    <s v="ORD-372"/>
    <x v="49"/>
    <d v="2024-08-17T00:00:00"/>
    <s v="Second Class"/>
    <s v="CU-176"/>
    <s v="Pooja Yadav"/>
    <x v="2"/>
    <s v="India"/>
    <x v="2"/>
    <x v="3"/>
    <x v="1"/>
    <x v="0"/>
    <s v="Table"/>
    <x v="0"/>
    <n v="14179"/>
    <x v="3"/>
    <n v="0.2"/>
    <x v="371"/>
    <n v="1"/>
    <n v="-2.0000000000000018E-2"/>
    <s v="High Discount"/>
  </r>
  <r>
    <s v="ORD-373"/>
    <x v="108"/>
    <d v="2024-09-11T00:00:00"/>
    <s v="Same Day"/>
    <s v="CU-297"/>
    <s v="Priya Singh"/>
    <x v="2"/>
    <s v="India"/>
    <x v="2"/>
    <x v="3"/>
    <x v="1"/>
    <x v="2"/>
    <s v="Laptop"/>
    <x v="5"/>
    <n v="45948"/>
    <x v="7"/>
    <n v="0.2"/>
    <x v="372"/>
    <n v="2"/>
    <n v="-2.0000000000000018E-2"/>
    <s v="High Discount"/>
  </r>
  <r>
    <s v="ORD-374"/>
    <x v="169"/>
    <d v="2024-04-26T00:00:00"/>
    <s v="Second Class"/>
    <s v="CU-196"/>
    <s v="Sunil Kumar"/>
    <x v="2"/>
    <s v="India"/>
    <x v="3"/>
    <x v="0"/>
    <x v="0"/>
    <x v="2"/>
    <s v="Chair"/>
    <x v="0"/>
    <n v="28485"/>
    <x v="7"/>
    <n v="0.1"/>
    <x v="373"/>
    <n v="4"/>
    <n v="7.9999999999999988E-2"/>
    <s v="Low Discount"/>
  </r>
  <r>
    <s v="ORD-375"/>
    <x v="31"/>
    <d v="2024-05-31T00:00:00"/>
    <s v="Same Day"/>
    <s v="CU-509"/>
    <s v="Sunil Kumar"/>
    <x v="2"/>
    <s v="India"/>
    <x v="2"/>
    <x v="1"/>
    <x v="5"/>
    <x v="0"/>
    <s v="Chair"/>
    <x v="4"/>
    <n v="48994"/>
    <x v="5"/>
    <n v="0.05"/>
    <x v="374"/>
    <n v="1"/>
    <n v="0.13"/>
    <s v="Low Discount"/>
  </r>
  <r>
    <s v="ORD-376"/>
    <x v="229"/>
    <d v="2024-12-13T00:00:00"/>
    <s v="Same Day"/>
    <s v="CU-977"/>
    <s v="Rahul Sharma"/>
    <x v="2"/>
    <s v="India"/>
    <x v="1"/>
    <x v="2"/>
    <x v="5"/>
    <x v="0"/>
    <s v="Paper"/>
    <x v="1"/>
    <n v="33337"/>
    <x v="1"/>
    <n v="0.05"/>
    <x v="375"/>
    <n v="3"/>
    <n v="0.13"/>
    <s v="Low Discount"/>
  </r>
  <r>
    <s v="ORD-377"/>
    <x v="230"/>
    <d v="2024-01-19T00:00:00"/>
    <s v="Second Class"/>
    <s v="CU-601"/>
    <s v="Priya Singh"/>
    <x v="2"/>
    <s v="India"/>
    <x v="0"/>
    <x v="4"/>
    <x v="0"/>
    <x v="1"/>
    <s v="Table"/>
    <x v="3"/>
    <n v="52453"/>
    <x v="1"/>
    <n v="0.05"/>
    <x v="376"/>
    <n v="5"/>
    <n v="0.13"/>
    <s v="Low Discount"/>
  </r>
  <r>
    <s v="ORD-378"/>
    <x v="163"/>
    <d v="2024-06-30T00:00:00"/>
    <s v="Same Day"/>
    <s v="CU-711"/>
    <s v="Rahul Sharma"/>
    <x v="1"/>
    <s v="India"/>
    <x v="0"/>
    <x v="2"/>
    <x v="4"/>
    <x v="2"/>
    <s v="Mobile"/>
    <x v="2"/>
    <n v="26194"/>
    <x v="5"/>
    <n v="0.05"/>
    <x v="377"/>
    <n v="0"/>
    <n v="0.13"/>
    <s v="Low Discount"/>
  </r>
  <r>
    <s v="ORD-379"/>
    <x v="214"/>
    <d v="2024-12-07T00:00:00"/>
    <s v="Standard Class"/>
    <s v="CU-614"/>
    <s v="Priya Singh"/>
    <x v="0"/>
    <s v="India"/>
    <x v="2"/>
    <x v="1"/>
    <x v="3"/>
    <x v="0"/>
    <s v="Mobile"/>
    <x v="4"/>
    <n v="43883"/>
    <x v="3"/>
    <n v="0.05"/>
    <x v="378"/>
    <n v="5"/>
    <n v="0.13"/>
    <s v="Low Discount"/>
  </r>
  <r>
    <s v="ORD-380"/>
    <x v="146"/>
    <d v="2024-01-28T00:00:00"/>
    <s v="Same Day"/>
    <s v="CU-991"/>
    <s v="Priya Singh"/>
    <x v="0"/>
    <s v="India"/>
    <x v="3"/>
    <x v="2"/>
    <x v="1"/>
    <x v="1"/>
    <s v="Paper"/>
    <x v="1"/>
    <n v="37465"/>
    <x v="2"/>
    <n v="0.3"/>
    <x v="379"/>
    <n v="4"/>
    <n v="-0.12000000000000001"/>
    <s v="High Discount"/>
  </r>
  <r>
    <s v="ORD-381"/>
    <x v="231"/>
    <d v="2024-02-25T00:00:00"/>
    <s v="Second Class"/>
    <s v="CU-416"/>
    <s v="Pooja Yadav"/>
    <x v="2"/>
    <s v="India"/>
    <x v="1"/>
    <x v="2"/>
    <x v="5"/>
    <x v="2"/>
    <s v="Laptop"/>
    <x v="3"/>
    <n v="37594"/>
    <x v="8"/>
    <n v="0.1"/>
    <x v="380"/>
    <n v="0"/>
    <n v="7.9999999999999988E-2"/>
    <s v="Low Discount"/>
  </r>
  <r>
    <s v="ORD-382"/>
    <x v="98"/>
    <d v="2024-04-20T00:00:00"/>
    <s v="Same Day"/>
    <s v="CU-575"/>
    <s v="Neha Gupta"/>
    <x v="1"/>
    <s v="India"/>
    <x v="1"/>
    <x v="5"/>
    <x v="3"/>
    <x v="1"/>
    <s v="Paper"/>
    <x v="3"/>
    <n v="58322"/>
    <x v="2"/>
    <n v="0.2"/>
    <x v="381"/>
    <n v="1"/>
    <n v="-2.0000000000000018E-2"/>
    <s v="High Discount"/>
  </r>
  <r>
    <s v="ORD-383"/>
    <x v="121"/>
    <d v="2024-01-16T00:00:00"/>
    <s v="Second Class"/>
    <s v="CU-838"/>
    <s v="Amit Verma"/>
    <x v="0"/>
    <s v="India"/>
    <x v="3"/>
    <x v="1"/>
    <x v="3"/>
    <x v="1"/>
    <s v="Chair"/>
    <x v="4"/>
    <n v="32138"/>
    <x v="8"/>
    <n v="0.05"/>
    <x v="382"/>
    <n v="5"/>
    <n v="0.13"/>
    <s v="Low Discount"/>
  </r>
  <r>
    <s v="ORD-384"/>
    <x v="139"/>
    <d v="2024-10-09T00:00:00"/>
    <s v="Standard Class"/>
    <s v="CU-161"/>
    <s v="Sunil Kumar"/>
    <x v="1"/>
    <s v="India"/>
    <x v="2"/>
    <x v="4"/>
    <x v="2"/>
    <x v="2"/>
    <s v="Table"/>
    <x v="3"/>
    <n v="14641"/>
    <x v="3"/>
    <n v="0.3"/>
    <x v="383"/>
    <n v="2"/>
    <n v="-0.12"/>
    <s v="High Discount"/>
  </r>
  <r>
    <s v="ORD-385"/>
    <x v="101"/>
    <d v="2024-09-05T00:00:00"/>
    <s v="Standard Class"/>
    <s v="CU-188"/>
    <s v="Arjun Malhotra"/>
    <x v="0"/>
    <s v="India"/>
    <x v="3"/>
    <x v="0"/>
    <x v="2"/>
    <x v="0"/>
    <s v="Chair"/>
    <x v="0"/>
    <n v="31627"/>
    <x v="5"/>
    <n v="0.2"/>
    <x v="384"/>
    <n v="0"/>
    <n v="-2.0000000000000018E-2"/>
    <s v="High Discount"/>
  </r>
  <r>
    <s v="ORD-386"/>
    <x v="232"/>
    <d v="2024-11-21T00:00:00"/>
    <s v="Standard Class"/>
    <s v="CU-130"/>
    <s v="Sunil Kumar"/>
    <x v="0"/>
    <s v="India"/>
    <x v="0"/>
    <x v="3"/>
    <x v="5"/>
    <x v="1"/>
    <s v="Laptop"/>
    <x v="0"/>
    <n v="6413"/>
    <x v="6"/>
    <n v="0"/>
    <x v="385"/>
    <n v="3"/>
    <n v="0.18"/>
    <s v="Low Discount"/>
  </r>
  <r>
    <s v="ORD-387"/>
    <x v="233"/>
    <d v="2024-06-23T00:00:00"/>
    <s v="Same Day"/>
    <s v="CU-231"/>
    <s v="Priya Singh"/>
    <x v="1"/>
    <s v="India"/>
    <x v="3"/>
    <x v="1"/>
    <x v="5"/>
    <x v="2"/>
    <s v="Chair"/>
    <x v="0"/>
    <n v="59509"/>
    <x v="1"/>
    <n v="0.2"/>
    <x v="386"/>
    <n v="0"/>
    <n v="-2.0000000000000018E-2"/>
    <s v="High Discount"/>
  </r>
  <r>
    <s v="ORD-388"/>
    <x v="15"/>
    <d v="2024-02-22T00:00:00"/>
    <s v="Second Class"/>
    <s v="CU-282"/>
    <s v="Priya Singh"/>
    <x v="0"/>
    <s v="India"/>
    <x v="2"/>
    <x v="5"/>
    <x v="4"/>
    <x v="0"/>
    <s v="Paper"/>
    <x v="4"/>
    <n v="37430"/>
    <x v="1"/>
    <n v="0.2"/>
    <x v="387"/>
    <n v="5"/>
    <n v="-2.0000000000000018E-2"/>
    <s v="High Discount"/>
  </r>
  <r>
    <s v="ORD-389"/>
    <x v="234"/>
    <d v="2024-02-10T00:00:00"/>
    <s v="Same Day"/>
    <s v="CU-894"/>
    <s v="Rahul Sharma"/>
    <x v="2"/>
    <s v="India"/>
    <x v="3"/>
    <x v="1"/>
    <x v="4"/>
    <x v="2"/>
    <s v="Chair"/>
    <x v="0"/>
    <n v="49072"/>
    <x v="3"/>
    <n v="0.3"/>
    <x v="388"/>
    <n v="0"/>
    <n v="-0.11999999999999998"/>
    <s v="High Discount"/>
  </r>
  <r>
    <s v="ORD-390"/>
    <x v="18"/>
    <d v="2024-02-24T00:00:00"/>
    <s v="Same Day"/>
    <s v="CU-312"/>
    <s v="Ravi Mehta"/>
    <x v="1"/>
    <s v="India"/>
    <x v="2"/>
    <x v="1"/>
    <x v="0"/>
    <x v="1"/>
    <s v="Paper"/>
    <x v="4"/>
    <n v="8708"/>
    <x v="1"/>
    <n v="0.2"/>
    <x v="389"/>
    <n v="3"/>
    <n v="-2.0000000000000018E-2"/>
    <s v="High Discount"/>
  </r>
  <r>
    <s v="ORD-391"/>
    <x v="235"/>
    <d v="2024-09-24T00:00:00"/>
    <s v="Same Day"/>
    <s v="CU-327"/>
    <s v="Priya Singh"/>
    <x v="2"/>
    <s v="India"/>
    <x v="2"/>
    <x v="4"/>
    <x v="0"/>
    <x v="0"/>
    <s v="Laptop"/>
    <x v="0"/>
    <n v="37392"/>
    <x v="9"/>
    <n v="0.3"/>
    <x v="390"/>
    <n v="5"/>
    <n v="-0.12"/>
    <s v="High Discount"/>
  </r>
  <r>
    <s v="ORD-392"/>
    <x v="236"/>
    <d v="2024-07-15T00:00:00"/>
    <s v="Same Day"/>
    <s v="CU-140"/>
    <s v="Ravi Mehta"/>
    <x v="0"/>
    <s v="India"/>
    <x v="2"/>
    <x v="1"/>
    <x v="0"/>
    <x v="2"/>
    <s v="Table"/>
    <x v="4"/>
    <n v="33882"/>
    <x v="7"/>
    <n v="0.05"/>
    <x v="391"/>
    <n v="4"/>
    <n v="0.13"/>
    <s v="Low Discount"/>
  </r>
  <r>
    <s v="ORD-393"/>
    <x v="210"/>
    <d v="2024-01-27T00:00:00"/>
    <s v="Second Class"/>
    <s v="CU-483"/>
    <s v="Amit Verma"/>
    <x v="0"/>
    <s v="India"/>
    <x v="3"/>
    <x v="4"/>
    <x v="2"/>
    <x v="2"/>
    <s v="Chair"/>
    <x v="4"/>
    <n v="5570"/>
    <x v="3"/>
    <n v="0.3"/>
    <x v="392"/>
    <n v="0"/>
    <n v="-0.12"/>
    <s v="High Discount"/>
  </r>
  <r>
    <s v="ORD-394"/>
    <x v="1"/>
    <d v="2024-05-31T00:00:00"/>
    <s v="Standard Class"/>
    <s v="CU-315"/>
    <s v="Ravi Mehta"/>
    <x v="0"/>
    <s v="India"/>
    <x v="0"/>
    <x v="5"/>
    <x v="1"/>
    <x v="2"/>
    <s v="Mobile"/>
    <x v="2"/>
    <n v="9697"/>
    <x v="5"/>
    <n v="0.05"/>
    <x v="393"/>
    <n v="4"/>
    <n v="0.13"/>
    <s v="Low Discount"/>
  </r>
  <r>
    <s v="ORD-395"/>
    <x v="237"/>
    <d v="2024-01-24T00:00:00"/>
    <s v="Standard Class"/>
    <s v="CU-546"/>
    <s v="Neha Gupta"/>
    <x v="1"/>
    <s v="India"/>
    <x v="2"/>
    <x v="3"/>
    <x v="2"/>
    <x v="0"/>
    <s v="Chair"/>
    <x v="4"/>
    <n v="44250"/>
    <x v="0"/>
    <n v="0.2"/>
    <x v="394"/>
    <n v="4"/>
    <n v="-2.0000000000000018E-2"/>
    <s v="High Discount"/>
  </r>
  <r>
    <s v="ORD-396"/>
    <x v="238"/>
    <d v="2024-07-14T00:00:00"/>
    <s v="Second Class"/>
    <s v="CU-882"/>
    <s v="Neha Gupta"/>
    <x v="2"/>
    <s v="India"/>
    <x v="1"/>
    <x v="1"/>
    <x v="2"/>
    <x v="2"/>
    <s v="Laptop"/>
    <x v="2"/>
    <n v="32614"/>
    <x v="5"/>
    <n v="0.1"/>
    <x v="395"/>
    <n v="2"/>
    <n v="7.9999999999999988E-2"/>
    <s v="Low Discount"/>
  </r>
  <r>
    <s v="ORD-397"/>
    <x v="173"/>
    <d v="2024-02-28T00:00:00"/>
    <s v="Standard Class"/>
    <s v="CU-409"/>
    <s v="Amit Verma"/>
    <x v="2"/>
    <s v="India"/>
    <x v="2"/>
    <x v="3"/>
    <x v="4"/>
    <x v="2"/>
    <s v="Laptop"/>
    <x v="4"/>
    <n v="19215"/>
    <x v="1"/>
    <n v="0.05"/>
    <x v="396"/>
    <n v="4"/>
    <n v="0.13"/>
    <s v="Low Discount"/>
  </r>
  <r>
    <s v="ORD-398"/>
    <x v="239"/>
    <d v="2024-06-11T00:00:00"/>
    <s v="Second Class"/>
    <s v="CU-613"/>
    <s v="Ravi Mehta"/>
    <x v="0"/>
    <s v="India"/>
    <x v="2"/>
    <x v="2"/>
    <x v="0"/>
    <x v="2"/>
    <s v="Mobile"/>
    <x v="0"/>
    <n v="53092"/>
    <x v="1"/>
    <n v="0"/>
    <x v="397"/>
    <n v="5"/>
    <n v="0.18"/>
    <s v="Low Discount"/>
  </r>
  <r>
    <s v="ORD-399"/>
    <x v="240"/>
    <d v="2024-06-02T00:00:00"/>
    <s v="Second Class"/>
    <s v="CU-353"/>
    <s v="Ravi Mehta"/>
    <x v="2"/>
    <s v="India"/>
    <x v="2"/>
    <x v="2"/>
    <x v="3"/>
    <x v="2"/>
    <s v="Mobile"/>
    <x v="2"/>
    <n v="24989"/>
    <x v="1"/>
    <n v="0.3"/>
    <x v="398"/>
    <n v="5"/>
    <n v="-0.12"/>
    <s v="High Discount"/>
  </r>
  <r>
    <s v="ORD-400"/>
    <x v="176"/>
    <d v="2024-08-27T00:00:00"/>
    <s v="Standard Class"/>
    <s v="CU-985"/>
    <s v="Priya Singh"/>
    <x v="2"/>
    <s v="India"/>
    <x v="1"/>
    <x v="3"/>
    <x v="0"/>
    <x v="2"/>
    <s v="Chair"/>
    <x v="3"/>
    <n v="30364"/>
    <x v="5"/>
    <n v="0.1"/>
    <x v="399"/>
    <n v="5"/>
    <n v="7.9999999999999988E-2"/>
    <s v="Low Discount"/>
  </r>
  <r>
    <s v="ORD-401"/>
    <x v="122"/>
    <d v="2024-01-26T00:00:00"/>
    <s v="Standard Class"/>
    <s v="CU-556"/>
    <s v="Neha Gupta"/>
    <x v="0"/>
    <s v="India"/>
    <x v="0"/>
    <x v="5"/>
    <x v="1"/>
    <x v="0"/>
    <s v="Laptop"/>
    <x v="0"/>
    <n v="33033"/>
    <x v="0"/>
    <n v="0.05"/>
    <x v="400"/>
    <n v="3"/>
    <n v="0.13"/>
    <s v="Low Discount"/>
  </r>
  <r>
    <s v="ORD-402"/>
    <x v="241"/>
    <d v="2024-04-05T00:00:00"/>
    <s v="Same Day"/>
    <s v="CU-457"/>
    <s v="Ravi Mehta"/>
    <x v="2"/>
    <s v="India"/>
    <x v="2"/>
    <x v="0"/>
    <x v="2"/>
    <x v="2"/>
    <s v="Chair"/>
    <x v="3"/>
    <n v="8567"/>
    <x v="3"/>
    <n v="0.1"/>
    <x v="401"/>
    <n v="1"/>
    <n v="7.9999999999999988E-2"/>
    <s v="Low Discount"/>
  </r>
  <r>
    <s v="ORD-403"/>
    <x v="103"/>
    <d v="2024-06-08T00:00:00"/>
    <s v="Standard Class"/>
    <s v="CU-841"/>
    <s v="Priya Singh"/>
    <x v="2"/>
    <s v="India"/>
    <x v="0"/>
    <x v="1"/>
    <x v="2"/>
    <x v="1"/>
    <s v="Laptop"/>
    <x v="0"/>
    <n v="54089"/>
    <x v="0"/>
    <n v="0.1"/>
    <x v="402"/>
    <n v="1"/>
    <n v="7.9999999999999988E-2"/>
    <s v="Low Discount"/>
  </r>
  <r>
    <s v="ORD-404"/>
    <x v="242"/>
    <d v="2024-07-19T00:00:00"/>
    <s v="Second Class"/>
    <s v="CU-356"/>
    <s v="Sunil Kumar"/>
    <x v="1"/>
    <s v="India"/>
    <x v="0"/>
    <x v="1"/>
    <x v="5"/>
    <x v="0"/>
    <s v="Laptop"/>
    <x v="5"/>
    <n v="6431"/>
    <x v="6"/>
    <n v="0"/>
    <x v="403"/>
    <n v="3"/>
    <n v="0.18"/>
    <s v="Low Discount"/>
  </r>
  <r>
    <s v="ORD-405"/>
    <x v="243"/>
    <d v="2024-06-20T00:00:00"/>
    <s v="Second Class"/>
    <s v="CU-451"/>
    <s v="Sunil Kumar"/>
    <x v="0"/>
    <s v="India"/>
    <x v="3"/>
    <x v="4"/>
    <x v="2"/>
    <x v="2"/>
    <s v="Laptop"/>
    <x v="0"/>
    <n v="3217"/>
    <x v="6"/>
    <n v="0.3"/>
    <x v="404"/>
    <n v="1"/>
    <n v="-0.12"/>
    <s v="High Discount"/>
  </r>
  <r>
    <s v="ORD-406"/>
    <x v="244"/>
    <d v="2024-03-17T00:00:00"/>
    <s v="Standard Class"/>
    <s v="CU-879"/>
    <s v="Ravi Mehta"/>
    <x v="0"/>
    <s v="India"/>
    <x v="3"/>
    <x v="0"/>
    <x v="0"/>
    <x v="2"/>
    <s v="Chair"/>
    <x v="4"/>
    <n v="59400"/>
    <x v="5"/>
    <n v="0.2"/>
    <x v="405"/>
    <n v="1"/>
    <n v="-2.0000000000000018E-2"/>
    <s v="High Discount"/>
  </r>
  <r>
    <s v="ORD-407"/>
    <x v="120"/>
    <d v="2024-05-10T00:00:00"/>
    <s v="Standard Class"/>
    <s v="CU-437"/>
    <s v="Amit Verma"/>
    <x v="1"/>
    <s v="India"/>
    <x v="3"/>
    <x v="3"/>
    <x v="4"/>
    <x v="0"/>
    <s v="Table"/>
    <x v="3"/>
    <n v="59914"/>
    <x v="4"/>
    <n v="0"/>
    <x v="406"/>
    <n v="1"/>
    <n v="0.18000000000000002"/>
    <s v="Low Discount"/>
  </r>
  <r>
    <s v="ORD-408"/>
    <x v="100"/>
    <d v="2024-10-27T00:00:00"/>
    <s v="Standard Class"/>
    <s v="CU-176"/>
    <s v="Ravi Mehta"/>
    <x v="1"/>
    <s v="India"/>
    <x v="1"/>
    <x v="5"/>
    <x v="2"/>
    <x v="2"/>
    <s v="Mobile"/>
    <x v="0"/>
    <n v="59224"/>
    <x v="3"/>
    <n v="0.05"/>
    <x v="407"/>
    <n v="4"/>
    <n v="0.13"/>
    <s v="Low Discount"/>
  </r>
  <r>
    <s v="ORD-409"/>
    <x v="76"/>
    <d v="2024-06-27T00:00:00"/>
    <s v="Standard Class"/>
    <s v="CU-168"/>
    <s v="Rahul Sharma"/>
    <x v="2"/>
    <s v="India"/>
    <x v="1"/>
    <x v="0"/>
    <x v="5"/>
    <x v="0"/>
    <s v="Chair"/>
    <x v="2"/>
    <n v="13366"/>
    <x v="5"/>
    <n v="0.1"/>
    <x v="408"/>
    <n v="1"/>
    <n v="7.9999999999999988E-2"/>
    <s v="Low Discount"/>
  </r>
  <r>
    <s v="ORD-410"/>
    <x v="179"/>
    <d v="2024-02-16T00:00:00"/>
    <s v="Same Day"/>
    <s v="CU-426"/>
    <s v="Ravi Mehta"/>
    <x v="0"/>
    <s v="India"/>
    <x v="3"/>
    <x v="3"/>
    <x v="4"/>
    <x v="0"/>
    <s v="Table"/>
    <x v="1"/>
    <n v="25483"/>
    <x v="2"/>
    <n v="0"/>
    <x v="409"/>
    <n v="2"/>
    <n v="0.18"/>
    <s v="Low Discount"/>
  </r>
  <r>
    <s v="ORD-411"/>
    <x v="245"/>
    <d v="2024-04-10T00:00:00"/>
    <s v="Standard Class"/>
    <s v="CU-443"/>
    <s v="Sunil Kumar"/>
    <x v="1"/>
    <s v="India"/>
    <x v="2"/>
    <x v="0"/>
    <x v="5"/>
    <x v="1"/>
    <s v="Mobile"/>
    <x v="1"/>
    <n v="59426"/>
    <x v="5"/>
    <n v="0"/>
    <x v="410"/>
    <n v="5"/>
    <n v="0.18"/>
    <s v="Low Discount"/>
  </r>
  <r>
    <s v="ORD-412"/>
    <x v="246"/>
    <d v="2024-07-17T00:00:00"/>
    <s v="Second Class"/>
    <s v="CU-386"/>
    <s v="Neha Gupta"/>
    <x v="0"/>
    <s v="India"/>
    <x v="3"/>
    <x v="1"/>
    <x v="0"/>
    <x v="0"/>
    <s v="Laptop"/>
    <x v="0"/>
    <n v="31669"/>
    <x v="7"/>
    <n v="0"/>
    <x v="411"/>
    <n v="0"/>
    <n v="0.18"/>
    <s v="Low Discount"/>
  </r>
  <r>
    <s v="ORD-413"/>
    <x v="247"/>
    <d v="2024-10-31T00:00:00"/>
    <s v="Second Class"/>
    <s v="CU-164"/>
    <s v="Amit Verma"/>
    <x v="1"/>
    <s v="India"/>
    <x v="0"/>
    <x v="4"/>
    <x v="0"/>
    <x v="2"/>
    <s v="Laptop"/>
    <x v="0"/>
    <n v="47339"/>
    <x v="9"/>
    <n v="0"/>
    <x v="412"/>
    <n v="1"/>
    <n v="0.18000000000000002"/>
    <s v="Low Discount"/>
  </r>
  <r>
    <s v="ORD-414"/>
    <x v="199"/>
    <d v="2024-07-05T00:00:00"/>
    <s v="Second Class"/>
    <s v="CU-497"/>
    <s v="Ravi Mehta"/>
    <x v="2"/>
    <s v="India"/>
    <x v="3"/>
    <x v="4"/>
    <x v="5"/>
    <x v="2"/>
    <s v="Paper"/>
    <x v="1"/>
    <n v="54311"/>
    <x v="2"/>
    <n v="0.2"/>
    <x v="413"/>
    <n v="3"/>
    <n v="-2.0000000000000018E-2"/>
    <s v="High Discount"/>
  </r>
  <r>
    <s v="ORD-415"/>
    <x v="2"/>
    <d v="2024-09-12T00:00:00"/>
    <s v="Same Day"/>
    <s v="CU-630"/>
    <s v="Priya Singh"/>
    <x v="2"/>
    <s v="India"/>
    <x v="3"/>
    <x v="3"/>
    <x v="0"/>
    <x v="2"/>
    <s v="Mobile"/>
    <x v="0"/>
    <n v="54901"/>
    <x v="6"/>
    <n v="0.05"/>
    <x v="414"/>
    <n v="0"/>
    <n v="0.13"/>
    <s v="Low Discount"/>
  </r>
  <r>
    <s v="ORD-416"/>
    <x v="126"/>
    <d v="2024-02-21T00:00:00"/>
    <s v="Standard Class"/>
    <s v="CU-710"/>
    <s v="Priya Singh"/>
    <x v="2"/>
    <s v="India"/>
    <x v="0"/>
    <x v="4"/>
    <x v="5"/>
    <x v="1"/>
    <s v="Mobile"/>
    <x v="1"/>
    <n v="19676"/>
    <x v="7"/>
    <n v="0.1"/>
    <x v="415"/>
    <n v="1"/>
    <n v="7.9999999999999988E-2"/>
    <s v="Low Discount"/>
  </r>
  <r>
    <s v="ORD-417"/>
    <x v="187"/>
    <d v="2024-03-04T00:00:00"/>
    <s v="Second Class"/>
    <s v="CU-370"/>
    <s v="Arjun Malhotra"/>
    <x v="1"/>
    <s v="India"/>
    <x v="2"/>
    <x v="0"/>
    <x v="2"/>
    <x v="2"/>
    <s v="Mobile"/>
    <x v="3"/>
    <n v="59841"/>
    <x v="4"/>
    <n v="0"/>
    <x v="416"/>
    <n v="5"/>
    <n v="0.18"/>
    <s v="Low Discount"/>
  </r>
  <r>
    <s v="ORD-418"/>
    <x v="194"/>
    <d v="2024-10-07T00:00:00"/>
    <s v="Standard Class"/>
    <s v="CU-326"/>
    <s v="Rahul Sharma"/>
    <x v="2"/>
    <s v="India"/>
    <x v="0"/>
    <x v="5"/>
    <x v="4"/>
    <x v="0"/>
    <s v="Paper"/>
    <x v="5"/>
    <n v="52675"/>
    <x v="9"/>
    <n v="0.2"/>
    <x v="417"/>
    <n v="5"/>
    <n v="-2.0000000000000018E-2"/>
    <s v="High Discount"/>
  </r>
  <r>
    <s v="ORD-419"/>
    <x v="99"/>
    <d v="2024-07-25T00:00:00"/>
    <s v="Standard Class"/>
    <s v="CU-577"/>
    <s v="Pooja Yadav"/>
    <x v="2"/>
    <s v="India"/>
    <x v="2"/>
    <x v="4"/>
    <x v="5"/>
    <x v="1"/>
    <s v="Mobile"/>
    <x v="4"/>
    <n v="2706"/>
    <x v="4"/>
    <n v="0"/>
    <x v="418"/>
    <n v="0"/>
    <n v="0.18"/>
    <s v="Low Discount"/>
  </r>
  <r>
    <s v="ORD-420"/>
    <x v="248"/>
    <d v="2024-05-28T00:00:00"/>
    <s v="Standard Class"/>
    <s v="CU-886"/>
    <s v="Arjun Malhotra"/>
    <x v="2"/>
    <s v="India"/>
    <x v="2"/>
    <x v="2"/>
    <x v="2"/>
    <x v="2"/>
    <s v="Chair"/>
    <x v="0"/>
    <n v="19885"/>
    <x v="0"/>
    <n v="0.3"/>
    <x v="419"/>
    <n v="5"/>
    <n v="-0.12"/>
    <s v="High Discount"/>
  </r>
  <r>
    <s v="ORD-421"/>
    <x v="156"/>
    <d v="2024-01-14T00:00:00"/>
    <s v="Standard Class"/>
    <s v="CU-468"/>
    <s v="Arjun Malhotra"/>
    <x v="2"/>
    <s v="India"/>
    <x v="1"/>
    <x v="0"/>
    <x v="2"/>
    <x v="0"/>
    <s v="Laptop"/>
    <x v="2"/>
    <n v="20855"/>
    <x v="2"/>
    <n v="0.05"/>
    <x v="420"/>
    <n v="2"/>
    <n v="0.13"/>
    <s v="Low Discount"/>
  </r>
  <r>
    <s v="ORD-422"/>
    <x v="65"/>
    <d v="2024-01-25T00:00:00"/>
    <s v="Standard Class"/>
    <s v="CU-373"/>
    <s v="Rahul Sharma"/>
    <x v="2"/>
    <s v="India"/>
    <x v="0"/>
    <x v="4"/>
    <x v="4"/>
    <x v="1"/>
    <s v="Paper"/>
    <x v="4"/>
    <n v="8236"/>
    <x v="7"/>
    <n v="0"/>
    <x v="421"/>
    <n v="4"/>
    <n v="0.18"/>
    <s v="Low Discount"/>
  </r>
  <r>
    <s v="ORD-423"/>
    <x v="18"/>
    <d v="2024-02-21T00:00:00"/>
    <s v="Second Class"/>
    <s v="CU-902"/>
    <s v="Rahul Sharma"/>
    <x v="1"/>
    <s v="India"/>
    <x v="1"/>
    <x v="5"/>
    <x v="2"/>
    <x v="2"/>
    <s v="Laptop"/>
    <x v="2"/>
    <n v="59176"/>
    <x v="8"/>
    <n v="0.2"/>
    <x v="422"/>
    <n v="0"/>
    <n v="-2.0000000000000018E-2"/>
    <s v="High Discount"/>
  </r>
  <r>
    <s v="ORD-424"/>
    <x v="249"/>
    <d v="2024-02-15T00:00:00"/>
    <s v="Second Class"/>
    <s v="CU-979"/>
    <s v="Priya Singh"/>
    <x v="2"/>
    <s v="India"/>
    <x v="2"/>
    <x v="5"/>
    <x v="2"/>
    <x v="0"/>
    <s v="Table"/>
    <x v="0"/>
    <n v="21242"/>
    <x v="4"/>
    <n v="0.05"/>
    <x v="423"/>
    <n v="4"/>
    <n v="0.13"/>
    <s v="Low Discount"/>
  </r>
  <r>
    <s v="ORD-425"/>
    <x v="16"/>
    <d v="2024-11-25T00:00:00"/>
    <s v="Same Day"/>
    <s v="CU-940"/>
    <s v="Sunil Kumar"/>
    <x v="2"/>
    <s v="India"/>
    <x v="0"/>
    <x v="1"/>
    <x v="4"/>
    <x v="2"/>
    <s v="Mobile"/>
    <x v="2"/>
    <n v="16329"/>
    <x v="2"/>
    <n v="0.1"/>
    <x v="424"/>
    <n v="2"/>
    <n v="7.9999999999999988E-2"/>
    <s v="Low Discount"/>
  </r>
  <r>
    <s v="ORD-426"/>
    <x v="39"/>
    <d v="2024-10-15T00:00:00"/>
    <s v="Standard Class"/>
    <s v="CU-458"/>
    <s v="Arjun Malhotra"/>
    <x v="2"/>
    <s v="India"/>
    <x v="3"/>
    <x v="3"/>
    <x v="0"/>
    <x v="2"/>
    <s v="Chair"/>
    <x v="2"/>
    <n v="39345"/>
    <x v="8"/>
    <n v="0.05"/>
    <x v="425"/>
    <n v="1"/>
    <n v="0.13"/>
    <s v="Low Discount"/>
  </r>
  <r>
    <s v="ORD-427"/>
    <x v="64"/>
    <d v="2024-04-16T00:00:00"/>
    <s v="Same Day"/>
    <s v="CU-296"/>
    <s v="Pooja Yadav"/>
    <x v="1"/>
    <s v="India"/>
    <x v="1"/>
    <x v="3"/>
    <x v="1"/>
    <x v="1"/>
    <s v="Chair"/>
    <x v="3"/>
    <n v="1208"/>
    <x v="8"/>
    <n v="0.2"/>
    <x v="426"/>
    <n v="5"/>
    <n v="-2.0000000000000018E-2"/>
    <s v="High Discount"/>
  </r>
  <r>
    <s v="ORD-428"/>
    <x v="250"/>
    <d v="2024-12-19T00:00:00"/>
    <s v="Second Class"/>
    <s v="CU-242"/>
    <s v="Arjun Malhotra"/>
    <x v="0"/>
    <s v="India"/>
    <x v="2"/>
    <x v="4"/>
    <x v="5"/>
    <x v="0"/>
    <s v="Laptop"/>
    <x v="2"/>
    <n v="8432"/>
    <x v="3"/>
    <n v="0.1"/>
    <x v="427"/>
    <n v="2"/>
    <n v="7.9999999999999988E-2"/>
    <s v="Low Discount"/>
  </r>
  <r>
    <s v="ORD-429"/>
    <x v="163"/>
    <d v="2024-07-01T00:00:00"/>
    <s v="Same Day"/>
    <s v="CU-738"/>
    <s v="Arjun Malhotra"/>
    <x v="1"/>
    <s v="India"/>
    <x v="3"/>
    <x v="4"/>
    <x v="3"/>
    <x v="2"/>
    <s v="Chair"/>
    <x v="1"/>
    <n v="26657"/>
    <x v="8"/>
    <n v="0.2"/>
    <x v="428"/>
    <n v="1"/>
    <n v="-2.0000000000000018E-2"/>
    <s v="High Discount"/>
  </r>
  <r>
    <s v="ORD-430"/>
    <x v="19"/>
    <d v="2024-11-15T00:00:00"/>
    <s v="Same Day"/>
    <s v="CU-754"/>
    <s v="Arjun Malhotra"/>
    <x v="1"/>
    <s v="India"/>
    <x v="1"/>
    <x v="5"/>
    <x v="0"/>
    <x v="1"/>
    <s v="Paper"/>
    <x v="2"/>
    <n v="14207"/>
    <x v="0"/>
    <n v="0.2"/>
    <x v="429"/>
    <n v="1"/>
    <n v="-2.0000000000000018E-2"/>
    <s v="High Discount"/>
  </r>
  <r>
    <s v="ORD-431"/>
    <x v="10"/>
    <d v="2024-03-30T00:00:00"/>
    <s v="Second Class"/>
    <s v="CU-915"/>
    <s v="Ravi Mehta"/>
    <x v="1"/>
    <s v="India"/>
    <x v="0"/>
    <x v="3"/>
    <x v="0"/>
    <x v="2"/>
    <s v="Laptop"/>
    <x v="0"/>
    <n v="36618"/>
    <x v="9"/>
    <n v="0.05"/>
    <x v="430"/>
    <n v="0"/>
    <n v="0.13"/>
    <s v="Low Discount"/>
  </r>
  <r>
    <s v="ORD-432"/>
    <x v="251"/>
    <d v="2024-10-23T00:00:00"/>
    <s v="Standard Class"/>
    <s v="CU-105"/>
    <s v="Priya Singh"/>
    <x v="1"/>
    <s v="India"/>
    <x v="3"/>
    <x v="5"/>
    <x v="3"/>
    <x v="0"/>
    <s v="Paper"/>
    <x v="4"/>
    <n v="40840"/>
    <x v="2"/>
    <n v="0.1"/>
    <x v="431"/>
    <n v="1"/>
    <n v="7.9999999999999988E-2"/>
    <s v="Low Discount"/>
  </r>
  <r>
    <s v="ORD-433"/>
    <x v="185"/>
    <d v="2024-05-13T00:00:00"/>
    <s v="Second Class"/>
    <s v="CU-319"/>
    <s v="Priya Singh"/>
    <x v="1"/>
    <s v="India"/>
    <x v="2"/>
    <x v="1"/>
    <x v="1"/>
    <x v="0"/>
    <s v="Table"/>
    <x v="2"/>
    <n v="59617"/>
    <x v="1"/>
    <n v="0.1"/>
    <x v="432"/>
    <n v="3"/>
    <n v="7.9999999999999988E-2"/>
    <s v="Low Discount"/>
  </r>
  <r>
    <s v="ORD-434"/>
    <x v="252"/>
    <d v="2024-10-13T00:00:00"/>
    <s v="Standard Class"/>
    <s v="CU-487"/>
    <s v="Neha Gupta"/>
    <x v="1"/>
    <s v="India"/>
    <x v="2"/>
    <x v="5"/>
    <x v="5"/>
    <x v="0"/>
    <s v="Table"/>
    <x v="4"/>
    <n v="45483"/>
    <x v="5"/>
    <n v="0.1"/>
    <x v="433"/>
    <n v="2"/>
    <n v="7.9999999999999988E-2"/>
    <s v="Low Discount"/>
  </r>
  <r>
    <s v="ORD-435"/>
    <x v="253"/>
    <d v="2024-08-04T00:00:00"/>
    <s v="Standard Class"/>
    <s v="CU-176"/>
    <s v="Arjun Malhotra"/>
    <x v="0"/>
    <s v="India"/>
    <x v="2"/>
    <x v="0"/>
    <x v="2"/>
    <x v="2"/>
    <s v="Laptop"/>
    <x v="3"/>
    <n v="45436"/>
    <x v="0"/>
    <n v="0.2"/>
    <x v="434"/>
    <n v="4"/>
    <n v="-2.0000000000000018E-2"/>
    <s v="High Discount"/>
  </r>
  <r>
    <s v="ORD-436"/>
    <x v="254"/>
    <d v="2024-08-10T00:00:00"/>
    <s v="Same Day"/>
    <s v="CU-108"/>
    <s v="Arjun Malhotra"/>
    <x v="1"/>
    <s v="India"/>
    <x v="2"/>
    <x v="0"/>
    <x v="5"/>
    <x v="2"/>
    <s v="Chair"/>
    <x v="0"/>
    <n v="57217"/>
    <x v="6"/>
    <n v="0"/>
    <x v="435"/>
    <n v="5"/>
    <n v="0.18"/>
    <s v="Low Discount"/>
  </r>
  <r>
    <s v="ORD-437"/>
    <x v="205"/>
    <d v="2024-06-17T00:00:00"/>
    <s v="Standard Class"/>
    <s v="CU-534"/>
    <s v="Arjun Malhotra"/>
    <x v="2"/>
    <s v="India"/>
    <x v="0"/>
    <x v="2"/>
    <x v="2"/>
    <x v="2"/>
    <s v="Table"/>
    <x v="1"/>
    <n v="44918"/>
    <x v="8"/>
    <n v="0.05"/>
    <x v="436"/>
    <n v="3"/>
    <n v="0.13"/>
    <s v="Low Discount"/>
  </r>
  <r>
    <s v="ORD-438"/>
    <x v="211"/>
    <d v="2024-02-17T00:00:00"/>
    <s v="Second Class"/>
    <s v="CU-744"/>
    <s v="Neha Gupta"/>
    <x v="2"/>
    <s v="India"/>
    <x v="2"/>
    <x v="1"/>
    <x v="5"/>
    <x v="2"/>
    <s v="Chair"/>
    <x v="2"/>
    <n v="8802"/>
    <x v="5"/>
    <n v="0.05"/>
    <x v="437"/>
    <n v="1"/>
    <n v="0.13"/>
    <s v="Low Discount"/>
  </r>
  <r>
    <s v="ORD-439"/>
    <x v="255"/>
    <d v="2024-07-08T00:00:00"/>
    <s v="Standard Class"/>
    <s v="CU-258"/>
    <s v="Sunil Kumar"/>
    <x v="0"/>
    <s v="India"/>
    <x v="3"/>
    <x v="2"/>
    <x v="4"/>
    <x v="0"/>
    <s v="Laptop"/>
    <x v="3"/>
    <n v="28160"/>
    <x v="9"/>
    <n v="0.05"/>
    <x v="438"/>
    <n v="0"/>
    <n v="0.13"/>
    <s v="Low Discount"/>
  </r>
  <r>
    <s v="ORD-440"/>
    <x v="20"/>
    <d v="2024-09-15T00:00:00"/>
    <s v="Same Day"/>
    <s v="CU-719"/>
    <s v="Neha Gupta"/>
    <x v="0"/>
    <s v="India"/>
    <x v="0"/>
    <x v="1"/>
    <x v="4"/>
    <x v="2"/>
    <s v="Laptop"/>
    <x v="5"/>
    <n v="29829"/>
    <x v="5"/>
    <n v="0.1"/>
    <x v="439"/>
    <n v="5"/>
    <n v="7.9999999999999988E-2"/>
    <s v="Low Discount"/>
  </r>
  <r>
    <s v="ORD-441"/>
    <x v="256"/>
    <d v="2024-04-07T00:00:00"/>
    <s v="Same Day"/>
    <s v="CU-739"/>
    <s v="Amit Verma"/>
    <x v="1"/>
    <s v="India"/>
    <x v="2"/>
    <x v="1"/>
    <x v="5"/>
    <x v="1"/>
    <s v="Mobile"/>
    <x v="2"/>
    <n v="26934"/>
    <x v="8"/>
    <n v="0.2"/>
    <x v="440"/>
    <n v="5"/>
    <n v="-2.0000000000000018E-2"/>
    <s v="High Discount"/>
  </r>
  <r>
    <s v="ORD-442"/>
    <x v="257"/>
    <d v="2024-09-04T00:00:00"/>
    <s v="Standard Class"/>
    <s v="CU-432"/>
    <s v="Neha Gupta"/>
    <x v="2"/>
    <s v="India"/>
    <x v="3"/>
    <x v="2"/>
    <x v="2"/>
    <x v="2"/>
    <s v="Chair"/>
    <x v="4"/>
    <n v="15476"/>
    <x v="8"/>
    <n v="0.1"/>
    <x v="441"/>
    <n v="1"/>
    <n v="7.9999999999999974E-2"/>
    <s v="Low Discount"/>
  </r>
  <r>
    <s v="ORD-443"/>
    <x v="146"/>
    <d v="2024-01-25T00:00:00"/>
    <s v="Second Class"/>
    <s v="CU-921"/>
    <s v="Ravi Mehta"/>
    <x v="2"/>
    <s v="India"/>
    <x v="1"/>
    <x v="1"/>
    <x v="2"/>
    <x v="1"/>
    <s v="Table"/>
    <x v="1"/>
    <n v="48333"/>
    <x v="8"/>
    <n v="0.1"/>
    <x v="442"/>
    <n v="1"/>
    <n v="7.9999999999999988E-2"/>
    <s v="Low Discount"/>
  </r>
  <r>
    <s v="ORD-444"/>
    <x v="126"/>
    <d v="2024-02-22T00:00:00"/>
    <s v="Standard Class"/>
    <s v="CU-109"/>
    <s v="Sunil Kumar"/>
    <x v="2"/>
    <s v="India"/>
    <x v="0"/>
    <x v="3"/>
    <x v="1"/>
    <x v="2"/>
    <s v="Paper"/>
    <x v="4"/>
    <n v="54676"/>
    <x v="2"/>
    <n v="0.1"/>
    <x v="443"/>
    <n v="2"/>
    <n v="7.9999999999999988E-2"/>
    <s v="Low Discount"/>
  </r>
  <r>
    <s v="ORD-445"/>
    <x v="258"/>
    <d v="2024-05-08T00:00:00"/>
    <s v="Same Day"/>
    <s v="CU-148"/>
    <s v="Amit Verma"/>
    <x v="2"/>
    <s v="India"/>
    <x v="3"/>
    <x v="0"/>
    <x v="4"/>
    <x v="1"/>
    <s v="Mobile"/>
    <x v="1"/>
    <n v="14229"/>
    <x v="9"/>
    <n v="0.2"/>
    <x v="444"/>
    <n v="3"/>
    <n v="-2.0000000000000018E-2"/>
    <s v="High Discount"/>
  </r>
  <r>
    <s v="ORD-446"/>
    <x v="44"/>
    <d v="2024-04-17T00:00:00"/>
    <s v="Standard Class"/>
    <s v="CU-591"/>
    <s v="Pooja Yadav"/>
    <x v="0"/>
    <s v="India"/>
    <x v="1"/>
    <x v="0"/>
    <x v="5"/>
    <x v="2"/>
    <s v="Mobile"/>
    <x v="1"/>
    <n v="1740"/>
    <x v="6"/>
    <n v="0.1"/>
    <x v="445"/>
    <n v="0"/>
    <n v="7.9999999999999988E-2"/>
    <s v="Low Discount"/>
  </r>
  <r>
    <s v="ORD-447"/>
    <x v="245"/>
    <d v="2024-04-06T00:00:00"/>
    <s v="Second Class"/>
    <s v="CU-193"/>
    <s v="Ravi Mehta"/>
    <x v="2"/>
    <s v="India"/>
    <x v="3"/>
    <x v="0"/>
    <x v="5"/>
    <x v="2"/>
    <s v="Laptop"/>
    <x v="2"/>
    <n v="48387"/>
    <x v="0"/>
    <n v="0.1"/>
    <x v="446"/>
    <n v="1"/>
    <n v="7.9999999999999988E-2"/>
    <s v="Low Discount"/>
  </r>
  <r>
    <s v="ORD-448"/>
    <x v="257"/>
    <d v="2024-09-05T00:00:00"/>
    <s v="Same Day"/>
    <s v="CU-855"/>
    <s v="Ravi Mehta"/>
    <x v="2"/>
    <s v="India"/>
    <x v="0"/>
    <x v="2"/>
    <x v="2"/>
    <x v="2"/>
    <s v="Paper"/>
    <x v="4"/>
    <n v="5194"/>
    <x v="1"/>
    <n v="0"/>
    <x v="447"/>
    <n v="2"/>
    <n v="0.18"/>
    <s v="Low Discount"/>
  </r>
  <r>
    <s v="ORD-449"/>
    <x v="131"/>
    <d v="2024-11-26T00:00:00"/>
    <s v="Same Day"/>
    <s v="CU-763"/>
    <s v="Sunil Kumar"/>
    <x v="1"/>
    <s v="India"/>
    <x v="1"/>
    <x v="5"/>
    <x v="0"/>
    <x v="1"/>
    <s v="Mobile"/>
    <x v="0"/>
    <n v="40809"/>
    <x v="6"/>
    <n v="0.2"/>
    <x v="448"/>
    <n v="5"/>
    <n v="-2.0000000000000018E-2"/>
    <s v="High Discount"/>
  </r>
  <r>
    <s v="ORD-450"/>
    <x v="31"/>
    <d v="2024-06-04T00:00:00"/>
    <s v="Same Day"/>
    <s v="CU-981"/>
    <s v="Amit Verma"/>
    <x v="2"/>
    <s v="India"/>
    <x v="3"/>
    <x v="3"/>
    <x v="2"/>
    <x v="0"/>
    <s v="Laptop"/>
    <x v="4"/>
    <n v="47676"/>
    <x v="5"/>
    <n v="0.3"/>
    <x v="449"/>
    <n v="5"/>
    <n v="-0.12"/>
    <s v="High Discount"/>
  </r>
  <r>
    <s v="ORD-451"/>
    <x v="25"/>
    <d v="2024-12-09T00:00:00"/>
    <s v="Same Day"/>
    <s v="CU-596"/>
    <s v="Amit Verma"/>
    <x v="2"/>
    <s v="India"/>
    <x v="3"/>
    <x v="0"/>
    <x v="3"/>
    <x v="0"/>
    <s v="Paper"/>
    <x v="5"/>
    <n v="2629"/>
    <x v="9"/>
    <n v="0.3"/>
    <x v="450"/>
    <n v="1"/>
    <n v="-0.11999999999999998"/>
    <s v="High Discount"/>
  </r>
  <r>
    <s v="ORD-452"/>
    <x v="18"/>
    <d v="2024-02-22T00:00:00"/>
    <s v="Standard Class"/>
    <s v="CU-860"/>
    <s v="Ravi Mehta"/>
    <x v="0"/>
    <s v="India"/>
    <x v="3"/>
    <x v="3"/>
    <x v="1"/>
    <x v="1"/>
    <s v="Chair"/>
    <x v="5"/>
    <n v="57815"/>
    <x v="1"/>
    <n v="0.1"/>
    <x v="451"/>
    <n v="1"/>
    <n v="7.9999999999999988E-2"/>
    <s v="Low Discount"/>
  </r>
  <r>
    <s v="ORD-453"/>
    <x v="259"/>
    <d v="2024-08-17T00:00:00"/>
    <s v="Second Class"/>
    <s v="CU-731"/>
    <s v="Rahul Sharma"/>
    <x v="2"/>
    <s v="India"/>
    <x v="2"/>
    <x v="0"/>
    <x v="0"/>
    <x v="1"/>
    <s v="Mobile"/>
    <x v="4"/>
    <n v="41667"/>
    <x v="3"/>
    <n v="0.1"/>
    <x v="452"/>
    <n v="3"/>
    <n v="7.9999999999999988E-2"/>
    <s v="Low Discount"/>
  </r>
  <r>
    <s v="ORD-454"/>
    <x v="260"/>
    <d v="2024-04-12T00:00:00"/>
    <s v="Standard Class"/>
    <s v="CU-706"/>
    <s v="Sunil Kumar"/>
    <x v="1"/>
    <s v="India"/>
    <x v="2"/>
    <x v="4"/>
    <x v="5"/>
    <x v="1"/>
    <s v="Paper"/>
    <x v="3"/>
    <n v="6558"/>
    <x v="2"/>
    <n v="0.2"/>
    <x v="453"/>
    <n v="5"/>
    <n v="-2.0000000000000018E-2"/>
    <s v="High Discount"/>
  </r>
  <r>
    <s v="ORD-455"/>
    <x v="44"/>
    <d v="2024-04-22T00:00:00"/>
    <s v="Same Day"/>
    <s v="CU-734"/>
    <s v="Arjun Malhotra"/>
    <x v="0"/>
    <s v="India"/>
    <x v="1"/>
    <x v="1"/>
    <x v="1"/>
    <x v="1"/>
    <s v="Chair"/>
    <x v="1"/>
    <n v="28541"/>
    <x v="3"/>
    <n v="0"/>
    <x v="454"/>
    <n v="5"/>
    <n v="0.18"/>
    <s v="Low Discount"/>
  </r>
  <r>
    <s v="ORD-456"/>
    <x v="76"/>
    <d v="2024-06-30T00:00:00"/>
    <s v="Same Day"/>
    <s v="CU-150"/>
    <s v="Sunil Kumar"/>
    <x v="1"/>
    <s v="India"/>
    <x v="0"/>
    <x v="2"/>
    <x v="0"/>
    <x v="0"/>
    <s v="Table"/>
    <x v="0"/>
    <n v="57186"/>
    <x v="4"/>
    <n v="0.3"/>
    <x v="455"/>
    <n v="4"/>
    <n v="-0.12"/>
    <s v="High Discount"/>
  </r>
  <r>
    <s v="ORD-457"/>
    <x v="93"/>
    <d v="2024-01-24T00:00:00"/>
    <s v="Second Class"/>
    <s v="CU-225"/>
    <s v="Neha Gupta"/>
    <x v="2"/>
    <s v="India"/>
    <x v="2"/>
    <x v="5"/>
    <x v="2"/>
    <x v="2"/>
    <s v="Laptop"/>
    <x v="5"/>
    <n v="37654"/>
    <x v="2"/>
    <n v="0.2"/>
    <x v="456"/>
    <n v="2"/>
    <n v="-2.0000000000000018E-2"/>
    <s v="High Discount"/>
  </r>
  <r>
    <s v="ORD-458"/>
    <x v="261"/>
    <d v="2024-06-06T00:00:00"/>
    <s v="Second Class"/>
    <s v="CU-355"/>
    <s v="Ravi Mehta"/>
    <x v="2"/>
    <s v="India"/>
    <x v="0"/>
    <x v="4"/>
    <x v="1"/>
    <x v="0"/>
    <s v="Table"/>
    <x v="0"/>
    <n v="39038"/>
    <x v="0"/>
    <n v="0"/>
    <x v="457"/>
    <n v="4"/>
    <n v="0.18"/>
    <s v="Low Discount"/>
  </r>
  <r>
    <s v="ORD-459"/>
    <x v="262"/>
    <d v="2024-05-20T00:00:00"/>
    <s v="Standard Class"/>
    <s v="CU-633"/>
    <s v="Arjun Malhotra"/>
    <x v="1"/>
    <s v="India"/>
    <x v="3"/>
    <x v="1"/>
    <x v="2"/>
    <x v="0"/>
    <s v="Paper"/>
    <x v="2"/>
    <n v="11051"/>
    <x v="2"/>
    <n v="0.1"/>
    <x v="458"/>
    <n v="3"/>
    <n v="7.9999999999999988E-2"/>
    <s v="Low Discount"/>
  </r>
  <r>
    <s v="ORD-460"/>
    <x v="194"/>
    <d v="2024-10-03T00:00:00"/>
    <s v="Second Class"/>
    <s v="CU-402"/>
    <s v="Amit Verma"/>
    <x v="2"/>
    <s v="India"/>
    <x v="0"/>
    <x v="2"/>
    <x v="3"/>
    <x v="2"/>
    <s v="Laptop"/>
    <x v="3"/>
    <n v="12099"/>
    <x v="2"/>
    <n v="0.05"/>
    <x v="459"/>
    <n v="1"/>
    <n v="0.13"/>
    <s v="Low Discount"/>
  </r>
  <r>
    <s v="ORD-461"/>
    <x v="98"/>
    <d v="2024-04-22T00:00:00"/>
    <s v="Second Class"/>
    <s v="CU-163"/>
    <s v="Neha Gupta"/>
    <x v="0"/>
    <s v="India"/>
    <x v="2"/>
    <x v="1"/>
    <x v="1"/>
    <x v="0"/>
    <s v="Table"/>
    <x v="1"/>
    <n v="8598"/>
    <x v="9"/>
    <n v="0.05"/>
    <x v="460"/>
    <n v="3"/>
    <n v="0.13"/>
    <s v="Low Discount"/>
  </r>
  <r>
    <s v="ORD-462"/>
    <x v="263"/>
    <d v="2024-10-19T00:00:00"/>
    <s v="Standard Class"/>
    <s v="CU-277"/>
    <s v="Neha Gupta"/>
    <x v="0"/>
    <s v="India"/>
    <x v="1"/>
    <x v="0"/>
    <x v="5"/>
    <x v="1"/>
    <s v="Chair"/>
    <x v="4"/>
    <n v="49944"/>
    <x v="5"/>
    <n v="0"/>
    <x v="461"/>
    <n v="2"/>
    <n v="0.18"/>
    <s v="Low Discount"/>
  </r>
  <r>
    <s v="ORD-463"/>
    <x v="258"/>
    <d v="2024-05-06T00:00:00"/>
    <s v="Standard Class"/>
    <s v="CU-727"/>
    <s v="Rahul Sharma"/>
    <x v="0"/>
    <s v="India"/>
    <x v="3"/>
    <x v="1"/>
    <x v="0"/>
    <x v="2"/>
    <s v="Paper"/>
    <x v="3"/>
    <n v="1431"/>
    <x v="8"/>
    <n v="0.05"/>
    <x v="462"/>
    <n v="1"/>
    <n v="0.13"/>
    <s v="Low Discount"/>
  </r>
  <r>
    <s v="ORD-464"/>
    <x v="254"/>
    <d v="2024-08-05T00:00:00"/>
    <s v="Standard Class"/>
    <s v="CU-646"/>
    <s v="Priya Singh"/>
    <x v="1"/>
    <s v="India"/>
    <x v="1"/>
    <x v="4"/>
    <x v="0"/>
    <x v="0"/>
    <s v="Chair"/>
    <x v="1"/>
    <n v="29859"/>
    <x v="3"/>
    <n v="0.3"/>
    <x v="463"/>
    <n v="0"/>
    <n v="-0.12"/>
    <s v="High Discount"/>
  </r>
  <r>
    <s v="ORD-465"/>
    <x v="264"/>
    <d v="2024-06-22T00:00:00"/>
    <s v="Same Day"/>
    <s v="CU-497"/>
    <s v="Amit Verma"/>
    <x v="2"/>
    <s v="India"/>
    <x v="1"/>
    <x v="3"/>
    <x v="2"/>
    <x v="0"/>
    <s v="Chair"/>
    <x v="3"/>
    <n v="17162"/>
    <x v="1"/>
    <n v="0.1"/>
    <x v="464"/>
    <n v="0"/>
    <n v="7.9999999999999988E-2"/>
    <s v="Low Discount"/>
  </r>
  <r>
    <s v="ORD-466"/>
    <x v="41"/>
    <d v="2024-11-13T00:00:00"/>
    <s v="Same Day"/>
    <s v="CU-985"/>
    <s v="Sunil Kumar"/>
    <x v="2"/>
    <s v="India"/>
    <x v="3"/>
    <x v="5"/>
    <x v="3"/>
    <x v="2"/>
    <s v="Laptop"/>
    <x v="3"/>
    <n v="6363"/>
    <x v="6"/>
    <n v="0.3"/>
    <x v="465"/>
    <n v="2"/>
    <n v="-0.12"/>
    <s v="High Discount"/>
  </r>
  <r>
    <s v="ORD-467"/>
    <x v="205"/>
    <d v="2024-06-16T00:00:00"/>
    <s v="Same Day"/>
    <s v="CU-531"/>
    <s v="Priya Singh"/>
    <x v="0"/>
    <s v="India"/>
    <x v="1"/>
    <x v="3"/>
    <x v="3"/>
    <x v="0"/>
    <s v="Mobile"/>
    <x v="2"/>
    <n v="20787"/>
    <x v="8"/>
    <n v="0"/>
    <x v="466"/>
    <n v="2"/>
    <n v="0.18"/>
    <s v="Low Discount"/>
  </r>
  <r>
    <s v="ORD-468"/>
    <x v="184"/>
    <d v="2024-02-12T00:00:00"/>
    <s v="Standard Class"/>
    <s v="CU-974"/>
    <s v="Rahul Sharma"/>
    <x v="0"/>
    <s v="India"/>
    <x v="2"/>
    <x v="1"/>
    <x v="1"/>
    <x v="2"/>
    <s v="Mobile"/>
    <x v="0"/>
    <n v="15986"/>
    <x v="2"/>
    <n v="0.1"/>
    <x v="467"/>
    <n v="0"/>
    <n v="7.9999999999999988E-2"/>
    <s v="Low Discount"/>
  </r>
  <r>
    <s v="ORD-469"/>
    <x v="240"/>
    <d v="2024-05-28T00:00:00"/>
    <s v="Second Class"/>
    <s v="CU-328"/>
    <s v="Sunil Kumar"/>
    <x v="2"/>
    <s v="India"/>
    <x v="2"/>
    <x v="2"/>
    <x v="0"/>
    <x v="1"/>
    <s v="Paper"/>
    <x v="1"/>
    <n v="35956"/>
    <x v="4"/>
    <n v="0.3"/>
    <x v="468"/>
    <n v="0"/>
    <n v="-0.12000000000000001"/>
    <s v="High Discount"/>
  </r>
  <r>
    <s v="ORD-470"/>
    <x v="221"/>
    <d v="2024-09-29T00:00:00"/>
    <s v="Same Day"/>
    <s v="CU-111"/>
    <s v="Amit Verma"/>
    <x v="1"/>
    <s v="India"/>
    <x v="2"/>
    <x v="1"/>
    <x v="1"/>
    <x v="1"/>
    <s v="Laptop"/>
    <x v="1"/>
    <n v="22950"/>
    <x v="7"/>
    <n v="0.1"/>
    <x v="469"/>
    <n v="4"/>
    <n v="7.9999999999999988E-2"/>
    <s v="Low Discount"/>
  </r>
  <r>
    <s v="ORD-471"/>
    <x v="98"/>
    <d v="2024-04-23T00:00:00"/>
    <s v="Standard Class"/>
    <s v="CU-262"/>
    <s v="Amit Verma"/>
    <x v="2"/>
    <s v="India"/>
    <x v="2"/>
    <x v="3"/>
    <x v="1"/>
    <x v="1"/>
    <s v="Paper"/>
    <x v="1"/>
    <n v="39330"/>
    <x v="2"/>
    <n v="0"/>
    <x v="470"/>
    <n v="4"/>
    <n v="0.18"/>
    <s v="Low Discount"/>
  </r>
  <r>
    <s v="ORD-472"/>
    <x v="2"/>
    <d v="2024-09-13T00:00:00"/>
    <s v="Standard Class"/>
    <s v="CU-850"/>
    <s v="Amit Verma"/>
    <x v="2"/>
    <s v="India"/>
    <x v="1"/>
    <x v="5"/>
    <x v="1"/>
    <x v="1"/>
    <s v="Chair"/>
    <x v="2"/>
    <n v="6703"/>
    <x v="9"/>
    <n v="0.2"/>
    <x v="471"/>
    <n v="1"/>
    <n v="-2.0000000000000018E-2"/>
    <s v="High Discount"/>
  </r>
  <r>
    <s v="ORD-473"/>
    <x v="265"/>
    <d v="2024-11-29T00:00:00"/>
    <s v="Second Class"/>
    <s v="CU-427"/>
    <s v="Amit Verma"/>
    <x v="0"/>
    <s v="India"/>
    <x v="2"/>
    <x v="0"/>
    <x v="5"/>
    <x v="0"/>
    <s v="Chair"/>
    <x v="2"/>
    <n v="42593"/>
    <x v="4"/>
    <n v="0.2"/>
    <x v="472"/>
    <n v="0"/>
    <n v="-2.0000000000000018E-2"/>
    <s v="High Discount"/>
  </r>
  <r>
    <s v="ORD-474"/>
    <x v="86"/>
    <d v="2024-05-09T00:00:00"/>
    <s v="Standard Class"/>
    <s v="CU-336"/>
    <s v="Amit Verma"/>
    <x v="1"/>
    <s v="India"/>
    <x v="0"/>
    <x v="0"/>
    <x v="0"/>
    <x v="0"/>
    <s v="Chair"/>
    <x v="1"/>
    <n v="21870"/>
    <x v="8"/>
    <n v="0.1"/>
    <x v="473"/>
    <n v="2"/>
    <n v="7.9999999999999988E-2"/>
    <s v="Low Discount"/>
  </r>
  <r>
    <s v="ORD-475"/>
    <x v="101"/>
    <d v="2024-09-10T00:00:00"/>
    <s v="Same Day"/>
    <s v="CU-271"/>
    <s v="Amit Verma"/>
    <x v="0"/>
    <s v="India"/>
    <x v="0"/>
    <x v="0"/>
    <x v="1"/>
    <x v="1"/>
    <s v="Paper"/>
    <x v="2"/>
    <n v="41335"/>
    <x v="2"/>
    <n v="0.2"/>
    <x v="474"/>
    <n v="5"/>
    <n v="-2.0000000000000018E-2"/>
    <s v="High Discount"/>
  </r>
  <r>
    <s v="ORD-476"/>
    <x v="184"/>
    <d v="2024-02-15T00:00:00"/>
    <s v="Same Day"/>
    <s v="CU-676"/>
    <s v="Arjun Malhotra"/>
    <x v="2"/>
    <s v="India"/>
    <x v="2"/>
    <x v="5"/>
    <x v="0"/>
    <x v="1"/>
    <s v="Table"/>
    <x v="5"/>
    <n v="15734"/>
    <x v="3"/>
    <n v="0.2"/>
    <x v="475"/>
    <n v="3"/>
    <n v="-2.0000000000000018E-2"/>
    <s v="High Discount"/>
  </r>
  <r>
    <s v="ORD-477"/>
    <x v="76"/>
    <d v="2024-07-01T00:00:00"/>
    <s v="Second Class"/>
    <s v="CU-480"/>
    <s v="Arjun Malhotra"/>
    <x v="1"/>
    <s v="India"/>
    <x v="2"/>
    <x v="5"/>
    <x v="3"/>
    <x v="1"/>
    <s v="Table"/>
    <x v="4"/>
    <n v="41598"/>
    <x v="1"/>
    <n v="0"/>
    <x v="476"/>
    <n v="5"/>
    <n v="0.18"/>
    <s v="Low Discount"/>
  </r>
  <r>
    <s v="ORD-478"/>
    <x v="48"/>
    <d v="2024-07-25T00:00:00"/>
    <s v="Second Class"/>
    <s v="CU-376"/>
    <s v="Priya Singh"/>
    <x v="1"/>
    <s v="India"/>
    <x v="2"/>
    <x v="4"/>
    <x v="3"/>
    <x v="2"/>
    <s v="Table"/>
    <x v="1"/>
    <n v="2802"/>
    <x v="2"/>
    <n v="0"/>
    <x v="477"/>
    <n v="3"/>
    <n v="0.18"/>
    <s v="Low Discount"/>
  </r>
  <r>
    <s v="ORD-479"/>
    <x v="206"/>
    <d v="2024-01-16T00:00:00"/>
    <s v="Standard Class"/>
    <s v="CU-265"/>
    <s v="Rahul Sharma"/>
    <x v="2"/>
    <s v="India"/>
    <x v="0"/>
    <x v="2"/>
    <x v="1"/>
    <x v="0"/>
    <s v="Laptop"/>
    <x v="4"/>
    <n v="38598"/>
    <x v="2"/>
    <n v="0"/>
    <x v="478"/>
    <n v="1"/>
    <n v="0.18"/>
    <s v="Low Discount"/>
  </r>
  <r>
    <s v="ORD-480"/>
    <x v="98"/>
    <d v="2024-04-22T00:00:00"/>
    <s v="Second Class"/>
    <s v="CU-838"/>
    <s v="Pooja Yadav"/>
    <x v="0"/>
    <s v="India"/>
    <x v="1"/>
    <x v="3"/>
    <x v="1"/>
    <x v="0"/>
    <s v="Chair"/>
    <x v="5"/>
    <n v="17655"/>
    <x v="0"/>
    <n v="0.3"/>
    <x v="479"/>
    <n v="3"/>
    <n v="-0.12"/>
    <s v="High Discount"/>
  </r>
  <r>
    <s v="ORD-481"/>
    <x v="239"/>
    <d v="2024-06-10T00:00:00"/>
    <s v="Same Day"/>
    <s v="CU-364"/>
    <s v="Arjun Malhotra"/>
    <x v="2"/>
    <s v="India"/>
    <x v="1"/>
    <x v="5"/>
    <x v="4"/>
    <x v="0"/>
    <s v="Mobile"/>
    <x v="2"/>
    <n v="50484"/>
    <x v="9"/>
    <n v="0.3"/>
    <x v="480"/>
    <n v="4"/>
    <n v="-0.12"/>
    <s v="High Discount"/>
  </r>
  <r>
    <s v="ORD-482"/>
    <x v="266"/>
    <d v="2024-01-19T00:00:00"/>
    <s v="Standard Class"/>
    <s v="CU-242"/>
    <s v="Priya Singh"/>
    <x v="2"/>
    <s v="India"/>
    <x v="1"/>
    <x v="0"/>
    <x v="1"/>
    <x v="2"/>
    <s v="Paper"/>
    <x v="5"/>
    <n v="52583"/>
    <x v="6"/>
    <n v="0.05"/>
    <x v="481"/>
    <n v="3"/>
    <n v="0.13"/>
    <s v="Low Discount"/>
  </r>
  <r>
    <s v="ORD-483"/>
    <x v="158"/>
    <d v="2024-06-03T00:00:00"/>
    <s v="Standard Class"/>
    <s v="CU-606"/>
    <s v="Rahul Sharma"/>
    <x v="0"/>
    <s v="India"/>
    <x v="0"/>
    <x v="2"/>
    <x v="3"/>
    <x v="0"/>
    <s v="Laptop"/>
    <x v="4"/>
    <n v="34353"/>
    <x v="9"/>
    <n v="0.05"/>
    <x v="482"/>
    <n v="0"/>
    <n v="0.13"/>
    <s v="Low Discount"/>
  </r>
  <r>
    <s v="ORD-484"/>
    <x v="107"/>
    <d v="2024-12-21T00:00:00"/>
    <s v="Standard Class"/>
    <s v="CU-137"/>
    <s v="Rahul Sharma"/>
    <x v="1"/>
    <s v="India"/>
    <x v="1"/>
    <x v="3"/>
    <x v="5"/>
    <x v="2"/>
    <s v="Chair"/>
    <x v="3"/>
    <n v="19932"/>
    <x v="6"/>
    <n v="0"/>
    <x v="483"/>
    <n v="2"/>
    <n v="0.18"/>
    <s v="Low Discount"/>
  </r>
  <r>
    <s v="ORD-485"/>
    <x v="145"/>
    <d v="2024-01-27T00:00:00"/>
    <s v="Same Day"/>
    <s v="CU-755"/>
    <s v="Neha Gupta"/>
    <x v="0"/>
    <s v="India"/>
    <x v="0"/>
    <x v="5"/>
    <x v="0"/>
    <x v="1"/>
    <s v="Mobile"/>
    <x v="5"/>
    <n v="4110"/>
    <x v="3"/>
    <n v="0.1"/>
    <x v="484"/>
    <n v="2"/>
    <n v="7.9999999999999988E-2"/>
    <s v="Low Discount"/>
  </r>
  <r>
    <s v="ORD-486"/>
    <x v="248"/>
    <d v="2024-05-27T00:00:00"/>
    <s v="Second Class"/>
    <s v="CU-677"/>
    <s v="Neha Gupta"/>
    <x v="2"/>
    <s v="India"/>
    <x v="2"/>
    <x v="4"/>
    <x v="2"/>
    <x v="1"/>
    <s v="Mobile"/>
    <x v="4"/>
    <n v="7192"/>
    <x v="1"/>
    <n v="0.1"/>
    <x v="485"/>
    <n v="4"/>
    <n v="7.9999999999999988E-2"/>
    <s v="Low Discount"/>
  </r>
  <r>
    <s v="ORD-487"/>
    <x v="77"/>
    <d v="2024-10-08T00:00:00"/>
    <s v="Same Day"/>
    <s v="CU-930"/>
    <s v="Rahul Sharma"/>
    <x v="0"/>
    <s v="India"/>
    <x v="1"/>
    <x v="2"/>
    <x v="1"/>
    <x v="2"/>
    <s v="Chair"/>
    <x v="3"/>
    <n v="4248"/>
    <x v="1"/>
    <n v="0.05"/>
    <x v="486"/>
    <n v="3"/>
    <n v="0.13"/>
    <s v="Low Discount"/>
  </r>
  <r>
    <s v="ORD-488"/>
    <x v="67"/>
    <d v="2024-11-04T00:00:00"/>
    <s v="Standard Class"/>
    <s v="CU-108"/>
    <s v="Rahul Sharma"/>
    <x v="1"/>
    <s v="India"/>
    <x v="2"/>
    <x v="2"/>
    <x v="5"/>
    <x v="1"/>
    <s v="Table"/>
    <x v="0"/>
    <n v="29522"/>
    <x v="5"/>
    <n v="0.3"/>
    <x v="487"/>
    <n v="1"/>
    <n v="-0.12"/>
    <s v="High Discount"/>
  </r>
  <r>
    <s v="ORD-489"/>
    <x v="173"/>
    <d v="2024-02-24T00:00:00"/>
    <s v="Standard Class"/>
    <s v="CU-630"/>
    <s v="Ravi Mehta"/>
    <x v="1"/>
    <s v="India"/>
    <x v="0"/>
    <x v="4"/>
    <x v="2"/>
    <x v="2"/>
    <s v="Chair"/>
    <x v="5"/>
    <n v="3161"/>
    <x v="2"/>
    <n v="0.05"/>
    <x v="488"/>
    <n v="0"/>
    <n v="0.13"/>
    <s v="Low Discount"/>
  </r>
  <r>
    <s v="ORD-490"/>
    <x v="171"/>
    <d v="2024-08-14T00:00:00"/>
    <s v="Standard Class"/>
    <s v="CU-431"/>
    <s v="Ravi Mehta"/>
    <x v="1"/>
    <s v="India"/>
    <x v="3"/>
    <x v="0"/>
    <x v="4"/>
    <x v="2"/>
    <s v="Chair"/>
    <x v="3"/>
    <n v="53882"/>
    <x v="1"/>
    <n v="0.05"/>
    <x v="489"/>
    <n v="1"/>
    <n v="0.13"/>
    <s v="Low Discount"/>
  </r>
  <r>
    <s v="ORD-491"/>
    <x v="84"/>
    <d v="2024-09-04T00:00:00"/>
    <s v="Same Day"/>
    <s v="CU-962"/>
    <s v="Rahul Sharma"/>
    <x v="1"/>
    <s v="India"/>
    <x v="3"/>
    <x v="5"/>
    <x v="4"/>
    <x v="2"/>
    <s v="Laptop"/>
    <x v="5"/>
    <n v="41521"/>
    <x v="4"/>
    <n v="0.1"/>
    <x v="490"/>
    <n v="4"/>
    <n v="7.9999999999999988E-2"/>
    <s v="Low Discount"/>
  </r>
  <r>
    <s v="ORD-492"/>
    <x v="267"/>
    <d v="2024-06-13T00:00:00"/>
    <s v="Same Day"/>
    <s v="CU-507"/>
    <s v="Priya Singh"/>
    <x v="2"/>
    <s v="India"/>
    <x v="1"/>
    <x v="2"/>
    <x v="1"/>
    <x v="2"/>
    <s v="Chair"/>
    <x v="5"/>
    <n v="4371"/>
    <x v="0"/>
    <n v="0.2"/>
    <x v="491"/>
    <n v="5"/>
    <n v="-2.0000000000000018E-2"/>
    <s v="High Discount"/>
  </r>
  <r>
    <s v="ORD-493"/>
    <x v="268"/>
    <d v="2024-08-14T00:00:00"/>
    <s v="Same Day"/>
    <s v="CU-972"/>
    <s v="Sunil Kumar"/>
    <x v="2"/>
    <s v="India"/>
    <x v="3"/>
    <x v="4"/>
    <x v="2"/>
    <x v="0"/>
    <s v="Mobile"/>
    <x v="5"/>
    <n v="53412"/>
    <x v="9"/>
    <n v="0.3"/>
    <x v="492"/>
    <n v="5"/>
    <n v="-0.12"/>
    <s v="High Discount"/>
  </r>
  <r>
    <s v="ORD-494"/>
    <x v="61"/>
    <d v="2024-04-27T00:00:00"/>
    <s v="Standard Class"/>
    <s v="CU-697"/>
    <s v="Arjun Malhotra"/>
    <x v="2"/>
    <s v="India"/>
    <x v="3"/>
    <x v="3"/>
    <x v="0"/>
    <x v="1"/>
    <s v="Chair"/>
    <x v="5"/>
    <n v="58592"/>
    <x v="3"/>
    <n v="0.1"/>
    <x v="493"/>
    <n v="1"/>
    <n v="7.9999999999999988E-2"/>
    <s v="Low Discount"/>
  </r>
  <r>
    <s v="ORD-495"/>
    <x v="228"/>
    <d v="2024-09-30T00:00:00"/>
    <s v="Standard Class"/>
    <s v="CU-694"/>
    <s v="Pooja Yadav"/>
    <x v="2"/>
    <s v="India"/>
    <x v="1"/>
    <x v="2"/>
    <x v="2"/>
    <x v="1"/>
    <s v="Laptop"/>
    <x v="2"/>
    <n v="54668"/>
    <x v="2"/>
    <n v="0.2"/>
    <x v="494"/>
    <n v="4"/>
    <n v="-2.0000000000000018E-2"/>
    <s v="High Discount"/>
  </r>
  <r>
    <s v="ORD-496"/>
    <x v="238"/>
    <d v="2024-07-16T00:00:00"/>
    <s v="Standard Class"/>
    <s v="CU-734"/>
    <s v="Rahul Sharma"/>
    <x v="2"/>
    <s v="India"/>
    <x v="3"/>
    <x v="1"/>
    <x v="2"/>
    <x v="1"/>
    <s v="Chair"/>
    <x v="0"/>
    <n v="57098"/>
    <x v="8"/>
    <n v="0.05"/>
    <x v="495"/>
    <n v="4"/>
    <n v="0.13"/>
    <s v="Low Discount"/>
  </r>
  <r>
    <s v="ORD-497"/>
    <x v="96"/>
    <d v="2024-09-01T00:00:00"/>
    <s v="Standard Class"/>
    <s v="CU-176"/>
    <s v="Ravi Mehta"/>
    <x v="0"/>
    <s v="India"/>
    <x v="3"/>
    <x v="2"/>
    <x v="0"/>
    <x v="0"/>
    <s v="Table"/>
    <x v="1"/>
    <n v="43440"/>
    <x v="8"/>
    <n v="0.05"/>
    <x v="496"/>
    <n v="2"/>
    <n v="0.13"/>
    <s v="Low Discount"/>
  </r>
  <r>
    <s v="ORD-498"/>
    <x v="64"/>
    <d v="2024-04-12T00:00:00"/>
    <s v="Standard Class"/>
    <s v="CU-435"/>
    <s v="Priya Singh"/>
    <x v="0"/>
    <s v="India"/>
    <x v="0"/>
    <x v="3"/>
    <x v="5"/>
    <x v="2"/>
    <s v="Chair"/>
    <x v="4"/>
    <n v="24040"/>
    <x v="2"/>
    <n v="0.05"/>
    <x v="497"/>
    <n v="1"/>
    <n v="0.13"/>
    <s v="Low Discount"/>
  </r>
  <r>
    <s v="ORD-499"/>
    <x v="233"/>
    <d v="2024-06-23T00:00:00"/>
    <s v="Second Class"/>
    <s v="CU-461"/>
    <s v="Arjun Malhotra"/>
    <x v="0"/>
    <s v="India"/>
    <x v="0"/>
    <x v="3"/>
    <x v="5"/>
    <x v="2"/>
    <s v="Table"/>
    <x v="5"/>
    <n v="40517"/>
    <x v="0"/>
    <n v="0.1"/>
    <x v="498"/>
    <n v="0"/>
    <n v="7.9999999999999988E-2"/>
    <s v="Low Discount"/>
  </r>
  <r>
    <s v="ORD-500"/>
    <x v="175"/>
    <d v="2024-08-03T00:00:00"/>
    <s v="Second Class"/>
    <s v="CU-703"/>
    <s v="Ravi Mehta"/>
    <x v="0"/>
    <s v="India"/>
    <x v="1"/>
    <x v="1"/>
    <x v="0"/>
    <x v="2"/>
    <s v="Table"/>
    <x v="3"/>
    <n v="27998"/>
    <x v="4"/>
    <n v="0"/>
    <x v="499"/>
    <n v="5"/>
    <n v="0.17999999999999997"/>
    <s v="Low Discoun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C9453D-7FF9-43D1-86D4-BC28382082DA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6">
  <location ref="A4:C17" firstHeaderRow="0" firstDataRow="1" firstDataCol="1"/>
  <pivotFields count="23">
    <pivotField showAll="0"/>
    <pivotField axis="axisRow" numFmtId="164" showAll="0">
      <items count="270">
        <item h="1" x="112"/>
        <item x="123"/>
        <item x="13"/>
        <item x="9"/>
        <item x="94"/>
        <item x="121"/>
        <item x="156"/>
        <item x="230"/>
        <item x="206"/>
        <item x="266"/>
        <item x="216"/>
        <item x="209"/>
        <item x="237"/>
        <item x="65"/>
        <item x="93"/>
        <item x="122"/>
        <item x="146"/>
        <item x="145"/>
        <item x="128"/>
        <item x="210"/>
        <item x="140"/>
        <item x="183"/>
        <item x="81"/>
        <item x="27"/>
        <item x="71"/>
        <item x="234"/>
        <item x="249"/>
        <item x="184"/>
        <item x="179"/>
        <item x="0"/>
        <item x="211"/>
        <item x="15"/>
        <item x="116"/>
        <item x="126"/>
        <item x="18"/>
        <item x="215"/>
        <item x="115"/>
        <item x="173"/>
        <item x="231"/>
        <item x="159"/>
        <item x="187"/>
        <item x="130"/>
        <item x="161"/>
        <item x="166"/>
        <item x="226"/>
        <item x="75"/>
        <item x="227"/>
        <item x="78"/>
        <item x="186"/>
        <item x="244"/>
        <item x="218"/>
        <item x="80"/>
        <item x="4"/>
        <item x="57"/>
        <item x="164"/>
        <item x="160"/>
        <item x="208"/>
        <item x="10"/>
        <item x="79"/>
        <item x="256"/>
        <item x="28"/>
        <item x="241"/>
        <item x="245"/>
        <item x="95"/>
        <item x="260"/>
        <item x="200"/>
        <item x="32"/>
        <item x="168"/>
        <item x="64"/>
        <item x="150"/>
        <item x="147"/>
        <item x="44"/>
        <item x="33"/>
        <item x="98"/>
        <item x="85"/>
        <item x="133"/>
        <item x="169"/>
        <item x="212"/>
        <item x="217"/>
        <item x="61"/>
        <item x="22"/>
        <item x="91"/>
        <item x="40"/>
        <item x="141"/>
        <item x="207"/>
        <item x="258"/>
        <item x="86"/>
        <item x="120"/>
        <item x="185"/>
        <item x="192"/>
        <item x="151"/>
        <item x="50"/>
        <item x="45"/>
        <item x="262"/>
        <item x="5"/>
        <item x="88"/>
        <item x="248"/>
        <item x="56"/>
        <item x="124"/>
        <item x="1"/>
        <item x="240"/>
        <item x="105"/>
        <item x="31"/>
        <item x="68"/>
        <item x="261"/>
        <item x="158"/>
        <item x="54"/>
        <item x="239"/>
        <item x="103"/>
        <item x="267"/>
        <item x="29"/>
        <item x="136"/>
        <item x="97"/>
        <item x="205"/>
        <item x="202"/>
        <item x="83"/>
        <item x="24"/>
        <item x="243"/>
        <item x="201"/>
        <item x="222"/>
        <item x="264"/>
        <item x="233"/>
        <item x="8"/>
        <item x="76"/>
        <item x="47"/>
        <item x="178"/>
        <item x="11"/>
        <item x="163"/>
        <item x="111"/>
        <item x="199"/>
        <item x="34"/>
        <item x="135"/>
        <item x="137"/>
        <item x="58"/>
        <item x="255"/>
        <item x="236"/>
        <item x="238"/>
        <item x="63"/>
        <item x="189"/>
        <item x="242"/>
        <item x="246"/>
        <item x="193"/>
        <item x="37"/>
        <item x="70"/>
        <item x="48"/>
        <item x="180"/>
        <item x="82"/>
        <item x="99"/>
        <item x="59"/>
        <item x="220"/>
        <item x="106"/>
        <item x="175"/>
        <item x="12"/>
        <item x="253"/>
        <item x="143"/>
        <item x="254"/>
        <item x="3"/>
        <item x="188"/>
        <item x="268"/>
        <item x="87"/>
        <item x="36"/>
        <item x="171"/>
        <item x="259"/>
        <item x="190"/>
        <item x="49"/>
        <item x="21"/>
        <item x="170"/>
        <item x="23"/>
        <item x="176"/>
        <item x="14"/>
        <item x="17"/>
        <item x="142"/>
        <item x="104"/>
        <item x="129"/>
        <item x="96"/>
        <item x="84"/>
        <item x="213"/>
        <item x="257"/>
        <item x="101"/>
        <item x="153"/>
        <item x="30"/>
        <item x="108"/>
        <item x="20"/>
        <item x="152"/>
        <item x="2"/>
        <item x="26"/>
        <item x="165"/>
        <item x="125"/>
        <item x="198"/>
        <item x="235"/>
        <item x="148"/>
        <item x="55"/>
        <item x="197"/>
        <item x="221"/>
        <item x="228"/>
        <item x="138"/>
        <item x="110"/>
        <item x="52"/>
        <item x="204"/>
        <item x="114"/>
        <item x="194"/>
        <item x="118"/>
        <item x="77"/>
        <item x="139"/>
        <item x="132"/>
        <item x="35"/>
        <item x="252"/>
        <item x="46"/>
        <item x="39"/>
        <item x="60"/>
        <item x="263"/>
        <item x="7"/>
        <item x="38"/>
        <item x="162"/>
        <item x="109"/>
        <item x="251"/>
        <item x="100"/>
        <item x="90"/>
        <item x="182"/>
        <item x="191"/>
        <item x="223"/>
        <item x="247"/>
        <item x="89"/>
        <item x="69"/>
        <item x="67"/>
        <item x="167"/>
        <item x="42"/>
        <item x="53"/>
        <item x="62"/>
        <item x="113"/>
        <item x="41"/>
        <item x="195"/>
        <item x="117"/>
        <item x="19"/>
        <item x="144"/>
        <item x="181"/>
        <item x="232"/>
        <item x="172"/>
        <item x="72"/>
        <item x="131"/>
        <item x="16"/>
        <item x="127"/>
        <item x="66"/>
        <item x="92"/>
        <item x="219"/>
        <item x="265"/>
        <item x="155"/>
        <item x="214"/>
        <item x="203"/>
        <item x="177"/>
        <item x="25"/>
        <item x="119"/>
        <item x="229"/>
        <item x="6"/>
        <item x="196"/>
        <item x="225"/>
        <item x="157"/>
        <item x="102"/>
        <item x="250"/>
        <item x="174"/>
        <item x="107"/>
        <item x="134"/>
        <item x="74"/>
        <item x="224"/>
        <item x="43"/>
        <item x="154"/>
        <item x="149"/>
        <item x="73"/>
        <item x="51"/>
        <item t="default"/>
      </items>
    </pivotField>
    <pivotField numFmtId="14" showAll="0"/>
    <pivotField showAll="0"/>
    <pivotField showAll="0"/>
    <pivotField showAll="0"/>
    <pivotField showAll="0">
      <items count="4">
        <item x="0"/>
        <item x="2"/>
        <item x="1"/>
        <item t="default"/>
      </items>
    </pivotField>
    <pivotField showAll="0"/>
    <pivotField axis="axisRow" showAll="0">
      <items count="5">
        <item x="1"/>
        <item x="2"/>
        <item x="0"/>
        <item x="3"/>
        <item t="default"/>
      </items>
    </pivotField>
    <pivotField axis="axisRow" showAll="0">
      <items count="7">
        <item x="0"/>
        <item x="4"/>
        <item x="2"/>
        <item x="1"/>
        <item x="5"/>
        <item x="3"/>
        <item t="default"/>
      </items>
    </pivotField>
    <pivotField axis="axisRow" showAll="0">
      <items count="7">
        <item x="4"/>
        <item x="2"/>
        <item x="5"/>
        <item x="1"/>
        <item x="3"/>
        <item x="0"/>
        <item t="default"/>
      </items>
    </pivotField>
    <pivotField showAll="0"/>
    <pivotField showAll="0"/>
    <pivotField axis="axisRow" showAll="0">
      <items count="7">
        <item x="5"/>
        <item x="2"/>
        <item x="4"/>
        <item x="3"/>
        <item x="0"/>
        <item x="1"/>
        <item t="default"/>
      </items>
    </pivotField>
    <pivotField dataField="1" showAll="0"/>
    <pivotField dataField="1" showAll="0">
      <items count="11">
        <item x="8"/>
        <item x="7"/>
        <item x="3"/>
        <item x="4"/>
        <item x="1"/>
        <item x="5"/>
        <item x="0"/>
        <item x="9"/>
        <item x="6"/>
        <item x="2"/>
        <item t="default"/>
      </items>
    </pivotField>
    <pivotField numFmtId="10" showAll="0"/>
    <pivotField showAll="0"/>
    <pivotField showAll="0"/>
    <pivotField numFmtId="10" showAll="0"/>
    <pivotField showAll="0"/>
    <pivotField axis="axisRow"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</items>
    </pivotField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7">
    <field x="22"/>
    <field x="21"/>
    <field x="1"/>
    <field x="8"/>
    <field x="9"/>
    <field x="10"/>
    <field x="13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4" baseField="0" baseItem="0"/>
    <dataField name="Sum of Quantity" fld="15" baseField="0" baseItem="0"/>
  </dataFields>
  <formats count="33">
    <format dxfId="750">
      <pivotArea dataOnly="0" fieldPosition="0">
        <references count="1">
          <reference field="22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749">
      <pivotArea dataOnly="0" fieldPosition="0">
        <references count="1">
          <reference field="22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748">
      <pivotArea dataOnly="0" grandRow="1" fieldPosition="0"/>
    </format>
    <format dxfId="747">
      <pivotArea type="all" dataOnly="0" outline="0" fieldPosition="0"/>
    </format>
    <format dxfId="746">
      <pivotArea outline="0" collapsedLevelsAreSubtotals="1" fieldPosition="0"/>
    </format>
    <format dxfId="745">
      <pivotArea field="22" type="button" dataOnly="0" labelOnly="1" outline="0" axis="axisRow" fieldPosition="0"/>
    </format>
    <format dxfId="744">
      <pivotArea dataOnly="0" labelOnly="1" fieldPosition="0">
        <references count="1">
          <reference field="22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743">
      <pivotArea dataOnly="0" labelOnly="1" grandRow="1" outline="0" fieldPosition="0"/>
    </format>
    <format dxfId="74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41">
      <pivotArea collapsedLevelsAreSubtotals="1" fieldPosition="0">
        <references count="2">
          <reference field="4294967294" count="1" selected="0">
            <x v="0"/>
          </reference>
          <reference field="22" count="1">
            <x v="1"/>
          </reference>
        </references>
      </pivotArea>
    </format>
    <format dxfId="740">
      <pivotArea collapsedLevelsAreSubtotals="1" fieldPosition="0">
        <references count="2">
          <reference field="4294967294" count="1" selected="0">
            <x v="0"/>
          </reference>
          <reference field="22" count="1">
            <x v="2"/>
          </reference>
        </references>
      </pivotArea>
    </format>
    <format dxfId="739">
      <pivotArea collapsedLevelsAreSubtotals="1" fieldPosition="0">
        <references count="2">
          <reference field="4294967294" count="1" selected="0">
            <x v="0"/>
          </reference>
          <reference field="22" count="1">
            <x v="3"/>
          </reference>
        </references>
      </pivotArea>
    </format>
    <format dxfId="738">
      <pivotArea collapsedLevelsAreSubtotals="1" fieldPosition="0">
        <references count="2">
          <reference field="4294967294" count="1" selected="0">
            <x v="0"/>
          </reference>
          <reference field="22" count="1">
            <x v="4"/>
          </reference>
        </references>
      </pivotArea>
    </format>
    <format dxfId="737">
      <pivotArea collapsedLevelsAreSubtotals="1" fieldPosition="0">
        <references count="2">
          <reference field="4294967294" count="1" selected="0">
            <x v="0"/>
          </reference>
          <reference field="22" count="1">
            <x v="5"/>
          </reference>
        </references>
      </pivotArea>
    </format>
    <format dxfId="736">
      <pivotArea collapsedLevelsAreSubtotals="1" fieldPosition="0">
        <references count="2">
          <reference field="4294967294" count="1" selected="0">
            <x v="0"/>
          </reference>
          <reference field="22" count="1">
            <x v="6"/>
          </reference>
        </references>
      </pivotArea>
    </format>
    <format dxfId="735">
      <pivotArea collapsedLevelsAreSubtotals="1" fieldPosition="0">
        <references count="2">
          <reference field="4294967294" count="1" selected="0">
            <x v="0"/>
          </reference>
          <reference field="22" count="1">
            <x v="7"/>
          </reference>
        </references>
      </pivotArea>
    </format>
    <format dxfId="734">
      <pivotArea collapsedLevelsAreSubtotals="1" fieldPosition="0">
        <references count="2">
          <reference field="4294967294" count="1" selected="0">
            <x v="0"/>
          </reference>
          <reference field="22" count="1">
            <x v="8"/>
          </reference>
        </references>
      </pivotArea>
    </format>
    <format dxfId="733">
      <pivotArea collapsedLevelsAreSubtotals="1" fieldPosition="0">
        <references count="2">
          <reference field="4294967294" count="1" selected="0">
            <x v="0"/>
          </reference>
          <reference field="22" count="1">
            <x v="9"/>
          </reference>
        </references>
      </pivotArea>
    </format>
    <format dxfId="732">
      <pivotArea collapsedLevelsAreSubtotals="1" fieldPosition="0">
        <references count="2">
          <reference field="4294967294" count="1" selected="0">
            <x v="0"/>
          </reference>
          <reference field="22" count="1">
            <x v="10"/>
          </reference>
        </references>
      </pivotArea>
    </format>
    <format dxfId="731">
      <pivotArea collapsedLevelsAreSubtotals="1" fieldPosition="0">
        <references count="2">
          <reference field="4294967294" count="1" selected="0">
            <x v="0"/>
          </reference>
          <reference field="22" count="1">
            <x v="11"/>
          </reference>
        </references>
      </pivotArea>
    </format>
    <format dxfId="730">
      <pivotArea collapsedLevelsAreSubtotals="1" fieldPosition="0">
        <references count="2">
          <reference field="4294967294" count="1" selected="0">
            <x v="0"/>
          </reference>
          <reference field="22" count="1">
            <x v="12"/>
          </reference>
        </references>
      </pivotArea>
    </format>
    <format dxfId="729">
      <pivotArea collapsedLevelsAreSubtotals="1" fieldPosition="0">
        <references count="2">
          <reference field="4294967294" count="1" selected="0">
            <x v="1"/>
          </reference>
          <reference field="22" count="1">
            <x v="1"/>
          </reference>
        </references>
      </pivotArea>
    </format>
    <format dxfId="728">
      <pivotArea collapsedLevelsAreSubtotals="1" fieldPosition="0">
        <references count="2">
          <reference field="4294967294" count="1" selected="0">
            <x v="1"/>
          </reference>
          <reference field="22" count="1">
            <x v="2"/>
          </reference>
        </references>
      </pivotArea>
    </format>
    <format dxfId="727">
      <pivotArea collapsedLevelsAreSubtotals="1" fieldPosition="0">
        <references count="2">
          <reference field="4294967294" count="1" selected="0">
            <x v="1"/>
          </reference>
          <reference field="22" count="1">
            <x v="3"/>
          </reference>
        </references>
      </pivotArea>
    </format>
    <format dxfId="726">
      <pivotArea collapsedLevelsAreSubtotals="1" fieldPosition="0">
        <references count="2">
          <reference field="4294967294" count="1" selected="0">
            <x v="1"/>
          </reference>
          <reference field="22" count="1">
            <x v="4"/>
          </reference>
        </references>
      </pivotArea>
    </format>
    <format dxfId="725">
      <pivotArea collapsedLevelsAreSubtotals="1" fieldPosition="0">
        <references count="2">
          <reference field="4294967294" count="1" selected="0">
            <x v="1"/>
          </reference>
          <reference field="22" count="1">
            <x v="5"/>
          </reference>
        </references>
      </pivotArea>
    </format>
    <format dxfId="724">
      <pivotArea collapsedLevelsAreSubtotals="1" fieldPosition="0">
        <references count="2">
          <reference field="4294967294" count="1" selected="0">
            <x v="1"/>
          </reference>
          <reference field="22" count="1">
            <x v="6"/>
          </reference>
        </references>
      </pivotArea>
    </format>
    <format dxfId="723">
      <pivotArea collapsedLevelsAreSubtotals="1" fieldPosition="0">
        <references count="2">
          <reference field="4294967294" count="1" selected="0">
            <x v="1"/>
          </reference>
          <reference field="22" count="1">
            <x v="7"/>
          </reference>
        </references>
      </pivotArea>
    </format>
    <format dxfId="722">
      <pivotArea collapsedLevelsAreSubtotals="1" fieldPosition="0">
        <references count="2">
          <reference field="4294967294" count="1" selected="0">
            <x v="1"/>
          </reference>
          <reference field="22" count="1">
            <x v="8"/>
          </reference>
        </references>
      </pivotArea>
    </format>
    <format dxfId="721">
      <pivotArea collapsedLevelsAreSubtotals="1" fieldPosition="0">
        <references count="2">
          <reference field="4294967294" count="1" selected="0">
            <x v="1"/>
          </reference>
          <reference field="22" count="1">
            <x v="9"/>
          </reference>
        </references>
      </pivotArea>
    </format>
    <format dxfId="720">
      <pivotArea collapsedLevelsAreSubtotals="1" fieldPosition="0">
        <references count="2">
          <reference field="4294967294" count="1" selected="0">
            <x v="1"/>
          </reference>
          <reference field="22" count="1">
            <x v="10"/>
          </reference>
        </references>
      </pivotArea>
    </format>
    <format dxfId="719">
      <pivotArea collapsedLevelsAreSubtotals="1" fieldPosition="0">
        <references count="2">
          <reference field="4294967294" count="1" selected="0">
            <x v="1"/>
          </reference>
          <reference field="22" count="1">
            <x v="11"/>
          </reference>
        </references>
      </pivotArea>
    </format>
    <format dxfId="718">
      <pivotArea collapsedLevelsAreSubtotals="1" fieldPosition="0">
        <references count="2">
          <reference field="4294967294" count="1" selected="0">
            <x v="1"/>
          </reference>
          <reference field="22" count="1">
            <x v="12"/>
          </reference>
        </references>
      </pivotArea>
    </format>
  </formats>
  <chartFormats count="6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A0F30E-ACD3-4F5A-8629-FD0FB728C155}" name="PivotTable4" cacheId="1" applyNumberFormats="0" applyBorderFormats="0" applyFontFormats="0" applyPatternFormats="0" applyAlignmentFormats="0" applyWidthHeightFormats="1" dataCaption="Overall Business Performance" updatedVersion="8" minRefreshableVersion="3" useAutoFormatting="1" itemPrintTitles="1" createdVersion="8" indent="0" outline="1" outlineData="1" multipleFieldFilters="0">
  <location ref="A4:D69" firstHeaderRow="0" firstDataRow="1" firstDataCol="1"/>
  <pivotFields count="23">
    <pivotField showAll="0"/>
    <pivotField numFmtId="164" showAll="0">
      <items count="270">
        <item x="112"/>
        <item x="123"/>
        <item x="13"/>
        <item x="9"/>
        <item x="94"/>
        <item x="121"/>
        <item x="156"/>
        <item x="230"/>
        <item x="206"/>
        <item x="266"/>
        <item x="216"/>
        <item x="209"/>
        <item x="237"/>
        <item x="65"/>
        <item x="93"/>
        <item x="122"/>
        <item x="146"/>
        <item x="145"/>
        <item x="128"/>
        <item x="210"/>
        <item x="140"/>
        <item x="183"/>
        <item x="81"/>
        <item x="27"/>
        <item x="71"/>
        <item x="234"/>
        <item x="249"/>
        <item x="184"/>
        <item x="179"/>
        <item x="0"/>
        <item x="211"/>
        <item x="15"/>
        <item x="116"/>
        <item x="126"/>
        <item x="18"/>
        <item x="215"/>
        <item x="115"/>
        <item x="173"/>
        <item x="231"/>
        <item x="159"/>
        <item x="187"/>
        <item x="130"/>
        <item x="161"/>
        <item x="166"/>
        <item x="226"/>
        <item x="75"/>
        <item x="227"/>
        <item x="78"/>
        <item x="186"/>
        <item x="244"/>
        <item x="218"/>
        <item x="80"/>
        <item x="4"/>
        <item x="57"/>
        <item x="164"/>
        <item x="160"/>
        <item x="208"/>
        <item x="10"/>
        <item x="79"/>
        <item x="256"/>
        <item x="28"/>
        <item x="241"/>
        <item x="245"/>
        <item x="95"/>
        <item x="260"/>
        <item x="200"/>
        <item x="32"/>
        <item x="168"/>
        <item x="64"/>
        <item x="150"/>
        <item x="147"/>
        <item x="44"/>
        <item x="33"/>
        <item x="98"/>
        <item x="85"/>
        <item x="133"/>
        <item x="169"/>
        <item x="212"/>
        <item x="217"/>
        <item x="61"/>
        <item x="22"/>
        <item x="91"/>
        <item x="40"/>
        <item x="141"/>
        <item x="207"/>
        <item x="258"/>
        <item x="86"/>
        <item x="120"/>
        <item x="185"/>
        <item x="192"/>
        <item x="151"/>
        <item x="50"/>
        <item x="45"/>
        <item x="262"/>
        <item x="5"/>
        <item x="88"/>
        <item x="248"/>
        <item x="56"/>
        <item x="124"/>
        <item x="1"/>
        <item x="240"/>
        <item x="105"/>
        <item x="31"/>
        <item x="68"/>
        <item x="261"/>
        <item x="158"/>
        <item x="54"/>
        <item x="239"/>
        <item x="103"/>
        <item x="267"/>
        <item x="29"/>
        <item x="136"/>
        <item x="97"/>
        <item x="205"/>
        <item x="202"/>
        <item x="83"/>
        <item x="24"/>
        <item x="243"/>
        <item x="201"/>
        <item x="222"/>
        <item x="264"/>
        <item x="233"/>
        <item x="8"/>
        <item x="76"/>
        <item x="47"/>
        <item x="178"/>
        <item x="11"/>
        <item x="163"/>
        <item x="111"/>
        <item x="199"/>
        <item x="34"/>
        <item x="135"/>
        <item x="137"/>
        <item x="58"/>
        <item x="255"/>
        <item x="236"/>
        <item x="238"/>
        <item x="63"/>
        <item x="189"/>
        <item x="242"/>
        <item x="246"/>
        <item x="193"/>
        <item x="37"/>
        <item x="70"/>
        <item x="48"/>
        <item x="180"/>
        <item x="82"/>
        <item x="99"/>
        <item x="59"/>
        <item x="220"/>
        <item x="106"/>
        <item x="175"/>
        <item x="12"/>
        <item x="253"/>
        <item x="143"/>
        <item x="254"/>
        <item x="3"/>
        <item x="188"/>
        <item x="268"/>
        <item x="87"/>
        <item x="36"/>
        <item x="171"/>
        <item x="259"/>
        <item x="190"/>
        <item x="49"/>
        <item x="21"/>
        <item x="170"/>
        <item x="23"/>
        <item x="176"/>
        <item x="14"/>
        <item x="17"/>
        <item x="142"/>
        <item x="104"/>
        <item x="129"/>
        <item x="96"/>
        <item x="84"/>
        <item x="213"/>
        <item x="257"/>
        <item x="101"/>
        <item x="153"/>
        <item x="30"/>
        <item x="108"/>
        <item x="20"/>
        <item x="152"/>
        <item x="2"/>
        <item x="26"/>
        <item x="165"/>
        <item x="125"/>
        <item x="198"/>
        <item x="235"/>
        <item x="148"/>
        <item x="55"/>
        <item x="197"/>
        <item x="221"/>
        <item x="228"/>
        <item x="138"/>
        <item x="110"/>
        <item x="52"/>
        <item x="204"/>
        <item x="114"/>
        <item x="194"/>
        <item x="118"/>
        <item x="77"/>
        <item x="139"/>
        <item x="132"/>
        <item x="35"/>
        <item x="252"/>
        <item x="46"/>
        <item x="39"/>
        <item x="60"/>
        <item x="263"/>
        <item x="7"/>
        <item x="38"/>
        <item x="162"/>
        <item x="109"/>
        <item x="251"/>
        <item x="100"/>
        <item x="90"/>
        <item x="182"/>
        <item x="191"/>
        <item x="223"/>
        <item x="247"/>
        <item x="89"/>
        <item x="69"/>
        <item x="67"/>
        <item x="167"/>
        <item x="42"/>
        <item x="53"/>
        <item x="62"/>
        <item x="113"/>
        <item x="41"/>
        <item x="195"/>
        <item x="117"/>
        <item x="19"/>
        <item x="144"/>
        <item x="181"/>
        <item x="232"/>
        <item x="172"/>
        <item x="72"/>
        <item x="131"/>
        <item x="16"/>
        <item x="127"/>
        <item x="66"/>
        <item x="92"/>
        <item x="219"/>
        <item x="265"/>
        <item x="155"/>
        <item x="214"/>
        <item x="203"/>
        <item x="177"/>
        <item x="25"/>
        <item x="119"/>
        <item x="229"/>
        <item x="6"/>
        <item x="196"/>
        <item x="225"/>
        <item x="157"/>
        <item x="102"/>
        <item x="250"/>
        <item x="174"/>
        <item x="107"/>
        <item x="134"/>
        <item x="74"/>
        <item x="224"/>
        <item x="43"/>
        <item x="154"/>
        <item x="149"/>
        <item x="73"/>
        <item x="51"/>
        <item t="default"/>
      </items>
    </pivotField>
    <pivotField numFmtId="14" showAll="0"/>
    <pivotField showAll="0"/>
    <pivotField showAll="0"/>
    <pivotField showAll="0"/>
    <pivotField showAll="0"/>
    <pivotField showAll="0"/>
    <pivotField axis="axisRow" multipleItemSelectionAllowed="1" showAll="0">
      <items count="5">
        <item x="1"/>
        <item x="2"/>
        <item x="0"/>
        <item x="3"/>
        <item t="default"/>
      </items>
    </pivotField>
    <pivotField showAll="0">
      <items count="7">
        <item x="0"/>
        <item x="4"/>
        <item x="2"/>
        <item x="1"/>
        <item x="5"/>
        <item x="3"/>
        <item t="default"/>
      </items>
    </pivotField>
    <pivotField showAll="0">
      <items count="7">
        <item x="4"/>
        <item x="2"/>
        <item x="5"/>
        <item x="1"/>
        <item x="3"/>
        <item x="0"/>
        <item t="default"/>
      </items>
    </pivotField>
    <pivotField axis="axisRow" showAll="0">
      <items count="4">
        <item sd="0" x="0"/>
        <item x="2"/>
        <item x="1"/>
        <item t="default"/>
      </items>
    </pivotField>
    <pivotField showAll="0"/>
    <pivotField axis="axisRow" showAll="0">
      <items count="7">
        <item x="5"/>
        <item x="2"/>
        <item x="4"/>
        <item x="3"/>
        <item x="0"/>
        <item x="1"/>
        <item t="default"/>
      </items>
    </pivotField>
    <pivotField dataField="1" showAll="0"/>
    <pivotField dataField="1" showAll="0"/>
    <pivotField numFmtId="10" showAll="0"/>
    <pivotField dataField="1" showAll="0"/>
    <pivotField showAll="0"/>
    <pivotField numFmtId="10"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8"/>
    <field x="11"/>
    <field x="13"/>
  </rowFields>
  <rowItems count="65">
    <i>
      <x/>
    </i>
    <i r="1">
      <x/>
    </i>
    <i r="1">
      <x v="1"/>
    </i>
    <i r="2">
      <x/>
    </i>
    <i r="2">
      <x v="1"/>
    </i>
    <i r="2">
      <x v="2"/>
    </i>
    <i r="2">
      <x v="3"/>
    </i>
    <i r="2">
      <x v="4"/>
    </i>
    <i r="2">
      <x v="5"/>
    </i>
    <i r="1">
      <x v="2"/>
    </i>
    <i r="2">
      <x/>
    </i>
    <i r="2">
      <x v="1"/>
    </i>
    <i r="2">
      <x v="2"/>
    </i>
    <i r="2">
      <x v="3"/>
    </i>
    <i r="2">
      <x v="4"/>
    </i>
    <i r="2">
      <x v="5"/>
    </i>
    <i>
      <x v="1"/>
    </i>
    <i r="1">
      <x/>
    </i>
    <i r="1">
      <x v="1"/>
    </i>
    <i r="2">
      <x/>
    </i>
    <i r="2">
      <x v="1"/>
    </i>
    <i r="2">
      <x v="2"/>
    </i>
    <i r="2">
      <x v="3"/>
    </i>
    <i r="2">
      <x v="4"/>
    </i>
    <i r="2">
      <x v="5"/>
    </i>
    <i r="1">
      <x v="2"/>
    </i>
    <i r="2">
      <x/>
    </i>
    <i r="2">
      <x v="1"/>
    </i>
    <i r="2">
      <x v="2"/>
    </i>
    <i r="2">
      <x v="3"/>
    </i>
    <i r="2">
      <x v="4"/>
    </i>
    <i r="2">
      <x v="5"/>
    </i>
    <i>
      <x v="2"/>
    </i>
    <i r="1">
      <x/>
    </i>
    <i r="1">
      <x v="1"/>
    </i>
    <i r="2">
      <x/>
    </i>
    <i r="2">
      <x v="1"/>
    </i>
    <i r="2">
      <x v="2"/>
    </i>
    <i r="2">
      <x v="3"/>
    </i>
    <i r="2">
      <x v="4"/>
    </i>
    <i r="2">
      <x v="5"/>
    </i>
    <i r="1">
      <x v="2"/>
    </i>
    <i r="2">
      <x/>
    </i>
    <i r="2">
      <x v="1"/>
    </i>
    <i r="2">
      <x v="2"/>
    </i>
    <i r="2">
      <x v="3"/>
    </i>
    <i r="2">
      <x v="4"/>
    </i>
    <i r="2">
      <x v="5"/>
    </i>
    <i>
      <x v="3"/>
    </i>
    <i r="1">
      <x/>
    </i>
    <i r="1">
      <x v="1"/>
    </i>
    <i r="2">
      <x/>
    </i>
    <i r="2">
      <x v="1"/>
    </i>
    <i r="2">
      <x v="2"/>
    </i>
    <i r="2">
      <x v="3"/>
    </i>
    <i r="2">
      <x v="4"/>
    </i>
    <i r="2">
      <x v="5"/>
    </i>
    <i r="1">
      <x v="2"/>
    </i>
    <i r="2">
      <x/>
    </i>
    <i r="2">
      <x v="1"/>
    </i>
    <i r="2">
      <x v="2"/>
    </i>
    <i r="2">
      <x v="3"/>
    </i>
    <i r="2">
      <x v="4"/>
    </i>
    <i r="2"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14" baseField="0" baseItem="0"/>
    <dataField name="Sum of Profit" fld="17" baseField="0" baseItem="0"/>
    <dataField name="Sum of Quantity" fld="15" baseField="0" baseItem="0"/>
  </dataFields>
  <formats count="32">
    <format dxfId="717">
      <pivotArea collapsedLevelsAreSubtotals="1" fieldPosition="0">
        <references count="1">
          <reference field="4294967294" count="1">
            <x v="0"/>
          </reference>
        </references>
      </pivotArea>
    </format>
    <format dxfId="716">
      <pivotArea field="-2" type="button" dataOnly="0" labelOnly="1" outline="0" axis="axisCol" fieldPosition="0"/>
    </format>
    <format dxfId="715">
      <pivotArea dataOnly="0" labelOnly="1" grandCol="1" outline="0" axis="axisCol" fieldPosition="0"/>
    </format>
    <format dxfId="714">
      <pivotArea type="all" dataOnly="0" outline="0" fieldPosition="0"/>
    </format>
    <format dxfId="713">
      <pivotArea outline="0" collapsedLevelsAreSubtotals="1" fieldPosition="0"/>
    </format>
    <format dxfId="71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11">
      <pivotArea field="-2" type="button" dataOnly="0" labelOnly="1" outline="0" axis="axisCol" fieldPosition="0"/>
    </format>
    <format dxfId="710">
      <pivotArea dataOnly="0" labelOnly="1" grandCol="1" outline="0" axis="axisCol" fieldPosition="0"/>
    </format>
    <format dxfId="709">
      <pivotArea collapsedLevelsAreSubtotals="1" fieldPosition="0">
        <references count="2">
          <reference field="4294967294" count="1">
            <x v="0"/>
          </reference>
          <reference field="8" count="0" selected="0" defaultSubtotal="1" sumSubtotal="1" countASubtotal="1" avgSubtotal="1" maxSubtotal="1" minSubtotal="1" productSubtotal="1" countSubtotal="1" stdDevSubtotal="1" stdDevPSubtotal="1" varSubtotal="1" varPSubtotal="1"/>
        </references>
      </pivotArea>
    </format>
    <format dxfId="708">
      <pivotArea collapsedLevelsAreSubtotals="1" fieldPosition="0">
        <references count="2">
          <reference field="4294967294" count="1">
            <x v="0"/>
          </reference>
          <reference field="8" count="0" selected="0" defaultSubtotal="1" sumSubtotal="1" countASubtotal="1" avgSubtotal="1" maxSubtotal="1" minSubtotal="1" productSubtotal="1" countSubtotal="1" stdDevSubtotal="1" stdDevPSubtotal="1" varSubtotal="1" varPSubtotal="1"/>
        </references>
      </pivotArea>
    </format>
    <format dxfId="707">
      <pivotArea collapsedLevelsAreSubtotals="1" fieldPosition="0">
        <references count="2">
          <reference field="4294967294" count="1">
            <x v="0"/>
          </reference>
          <reference field="8" count="0" selected="0" defaultSubtotal="1" sumSubtotal="1" countASubtotal="1" avgSubtotal="1" maxSubtotal="1" minSubtotal="1" productSubtotal="1" countSubtotal="1" stdDevSubtotal="1" stdDevPSubtotal="1" varSubtotal="1" varPSubtotal="1"/>
        </references>
      </pivotArea>
    </format>
    <format dxfId="706">
      <pivotArea grandRow="1" grandCol="1" outline="0" collapsedLevelsAreSubtotals="1" fieldPosition="0">
        <references count="1">
          <reference field="4294967294" count="2" selected="0">
            <x v="0"/>
            <x v="1"/>
          </reference>
        </references>
      </pivotArea>
    </format>
    <format dxfId="705">
      <pivotArea dataOnly="0" labelOnly="1" grandCol="1" outline="0" fieldPosition="0"/>
    </format>
    <format dxfId="704">
      <pivotArea field="8" dataOnly="0" labelOnly="1" grandRow="1" outline="0" axis="axisRow" fieldPosition="0">
        <references count="1">
          <reference field="4294967294" count="1" selected="0">
            <x v="0"/>
          </reference>
        </references>
      </pivotArea>
    </format>
    <format dxfId="703">
      <pivotArea field="8" dataOnly="0" labelOnly="1" grandRow="1" outline="0" axis="axisRow" fieldPosition="0">
        <references count="1">
          <reference field="4294967294" count="1" selected="0">
            <x v="1"/>
          </reference>
        </references>
      </pivotArea>
    </format>
    <format dxfId="702">
      <pivotArea field="8" collapsedLevelsAreSubtotals="1" axis="axisRow" fieldPosition="0">
        <references count="2">
          <reference field="4294967294" count="1" selected="0">
            <x v="0"/>
          </reference>
          <reference field="8" count="0"/>
        </references>
      </pivotArea>
    </format>
    <format dxfId="701">
      <pivotArea field="8" collapsedLevelsAreSubtotals="1" axis="axisRow" fieldPosition="0">
        <references count="2">
          <reference field="4294967294" count="1">
            <x v="1"/>
          </reference>
          <reference field="8" count="0" selected="0" defaultSubtotal="1" sumSubtotal="1" countASubtotal="1" avgSubtotal="1" maxSubtotal="1" minSubtotal="1" productSubtotal="1" countSubtotal="1" stdDevSubtotal="1" stdDevPSubtotal="1" varSubtotal="1" varPSubtotal="1"/>
        </references>
      </pivotArea>
    </format>
    <format dxfId="700">
      <pivotArea field="8" collapsedLevelsAreSubtotals="1" axis="axisRow" fieldPosition="0">
        <references count="2">
          <reference field="4294967294" count="1" selected="0">
            <x v="1"/>
          </reference>
          <reference field="8" count="0"/>
        </references>
      </pivotArea>
    </format>
    <format dxfId="699">
      <pivotArea dataOnly="0" labelOnly="1" grandCol="1" outline="0" fieldPosition="0"/>
    </format>
    <format dxfId="698">
      <pivotArea dataOnly="0" fieldPosition="0">
        <references count="1">
          <reference field="8" count="1">
            <x v="0"/>
          </reference>
        </references>
      </pivotArea>
    </format>
    <format dxfId="697">
      <pivotArea dataOnly="0" labelOnly="1" fieldPosition="0">
        <references count="1">
          <reference field="8" count="1">
            <x v="1"/>
          </reference>
        </references>
      </pivotArea>
    </format>
    <format dxfId="696">
      <pivotArea dataOnly="0" labelOnly="1" fieldPosition="0">
        <references count="1">
          <reference field="8" count="1">
            <x v="2"/>
          </reference>
        </references>
      </pivotArea>
    </format>
    <format dxfId="695">
      <pivotArea dataOnly="0" labelOnly="1" fieldPosition="0">
        <references count="1">
          <reference field="8" count="0"/>
        </references>
      </pivotArea>
    </format>
    <format dxfId="694">
      <pivotArea collapsedLevelsAreSubtotals="1" fieldPosition="0">
        <references count="2">
          <reference field="4294967294" count="1" selected="0">
            <x v="2"/>
          </reference>
          <reference field="8" count="1">
            <x v="1"/>
          </reference>
        </references>
      </pivotArea>
    </format>
    <format dxfId="693">
      <pivotArea collapsedLevelsAreSubtotals="1" fieldPosition="0">
        <references count="2">
          <reference field="4294967294" count="1" selected="0">
            <x v="2"/>
          </reference>
          <reference field="8" count="1">
            <x v="2"/>
          </reference>
        </references>
      </pivotArea>
    </format>
    <format dxfId="692">
      <pivotArea collapsedLevelsAreSubtotals="1" fieldPosition="0">
        <references count="2">
          <reference field="4294967294" count="1" selected="0">
            <x v="2"/>
          </reference>
          <reference field="8" count="1">
            <x v="3"/>
          </reference>
        </references>
      </pivotArea>
    </format>
    <format dxfId="691">
      <pivotArea field="13" dataOnly="0" grandRow="1" axis="axisRow" fieldPosition="2">
        <references count="2">
          <reference field="11" count="0" defaultSubtotal="1" sumSubtotal="1" countASubtotal="1" avgSubtotal="1" maxSubtotal="1" minSubtotal="1" productSubtotal="1" countSubtotal="1" stdDevSubtotal="1" stdDevPSubtotal="1" varSubtotal="1" varPSubtotal="1"/>
          <reference field="13" count="0" defaultSubtotal="1" sumSubtotal="1" countASubtotal="1" avgSubtotal="1" maxSubtotal="1" minSubtotal="1" productSubtotal="1" countSubtotal="1" stdDevSubtotal="1" stdDevPSubtotal="1" varSubtotal="1" varPSubtotal="1"/>
        </references>
      </pivotArea>
    </format>
    <format dxfId="690">
      <pivotArea grandRow="1" outline="0" collapsedLevelsAreSubtotals="1" fieldPosition="0"/>
    </format>
    <format dxfId="689">
      <pivotArea dataOnly="0" labelOnly="1" grandRow="1" outline="0" fieldPosition="0"/>
    </format>
    <format dxfId="662">
      <pivotArea dataOnly="0" fieldPosition="0">
        <references count="1">
          <reference field="11" count="2">
            <x v="0"/>
            <x v="1"/>
          </reference>
        </references>
      </pivotArea>
    </format>
    <format dxfId="661">
      <pivotArea dataOnly="0" fieldPosition="0">
        <references count="1">
          <reference field="11" count="1">
            <x v="2"/>
          </reference>
        </references>
      </pivotArea>
    </format>
    <format dxfId="660">
      <pivotArea dataOnly="0" grandRow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23C4503-2602-4481-A7A3-13597047C566}" name="Table3" displayName="Table3" ref="A1:U501" totalsRowShown="0" headerRowDxfId="688" dataDxfId="686" headerRowBorderDxfId="687" tableBorderDxfId="685" totalsRowBorderDxfId="684">
  <autoFilter ref="A1:U501" xr:uid="{923C4503-2602-4481-A7A3-13597047C566}"/>
  <tableColumns count="21">
    <tableColumn id="1" xr3:uid="{C5BC2959-9CAB-4139-923B-5C286D2C643E}" name="Order_Id" dataDxfId="683">
      <calculatedColumnFormula>"ORD-"&amp;(ROW()-1)</calculatedColumnFormula>
    </tableColumn>
    <tableColumn id="2" xr3:uid="{2A916F4B-9A2A-405B-ABE6-8FC3C866E71A}" name="Order_Date" dataDxfId="682">
      <calculatedColumnFormula>DATE(2024,1,1)+RANDBETWEEN(1,365)</calculatedColumnFormula>
    </tableColumn>
    <tableColumn id="3" xr3:uid="{15C8DEF1-9431-4E15-AC61-35A64DC5B29F}" name="Ship_Date" dataDxfId="681">
      <calculatedColumnFormula>B2+RANDBETWEEN(0,5)</calculatedColumnFormula>
    </tableColumn>
    <tableColumn id="4" xr3:uid="{A567D17F-0C6D-4A9D-9B40-90A314757B9D}" name="Ship_Mode" dataDxfId="680">
      <calculatedColumnFormula>CHOOSE(RANDBETWEEN(1,3),"Standard Class","Second Class","Same Day")</calculatedColumnFormula>
    </tableColumn>
    <tableColumn id="5" xr3:uid="{1D4D67AA-87AC-474F-8B85-9C0BA4257AE6}" name="Customer_ID" dataDxfId="679">
      <calculatedColumnFormula>"CU-"&amp;RANDBETWEEN(100,999)</calculatedColumnFormula>
    </tableColumn>
    <tableColumn id="6" xr3:uid="{4572BB49-BF88-4238-9A22-774293657389}" name="Customer_Name" dataDxfId="678">
      <calculatedColumnFormula>CHOOSE(RANDBETWEEN(1,8),"Rahul Sharma","Amit Verma","Priya Singh","Sunil Kumar","Neha Gupta","Ravi Mehta","Pooja Yadav","Arjun Malhotra")</calculatedColumnFormula>
    </tableColumn>
    <tableColumn id="7" xr3:uid="{ED717C25-C51F-48F7-A580-DE3C81E13B39}" name="Segment  " dataDxfId="677">
      <calculatedColumnFormula>CHOOSE(RANDBETWEEN(1,3),"Consumer","Corporate","Home Office")</calculatedColumnFormula>
    </tableColumn>
    <tableColumn id="8" xr3:uid="{0D305DD2-8294-4901-9A23-E010B2E56A92}" name="Country" dataDxfId="676">
      <calculatedColumnFormula>"India"</calculatedColumnFormula>
    </tableColumn>
    <tableColumn id="9" xr3:uid="{0410BC82-0092-428E-9479-587B54C1F9CF}" name="Region" dataDxfId="675">
      <calculatedColumnFormula>CHOOSE(RANDBETWEEN(1,4),"North","South","East","West")</calculatedColumnFormula>
    </tableColumn>
    <tableColumn id="10" xr3:uid="{8CA0E410-A74B-4454-8EE3-CEA6FF5E5CA0}" name="State" dataDxfId="674">
      <calculatedColumnFormula>CHOOSE(RANDBETWEEN(1,6),"Delhi","Maharashtra","Karnataka","West Bengal","Gujarat","Tamil Nadu")</calculatedColumnFormula>
    </tableColumn>
    <tableColumn id="11" xr3:uid="{3AADD53E-AA9E-4562-AFFB-A28C91897A62}" name="City" dataDxfId="673">
      <calculatedColumnFormula>CHOOSE(RANDBETWEEN(1,6),"Delhi","Mumbai","Bangalore","Kolkata","Ahmedabad","Chennai")</calculatedColumnFormula>
    </tableColumn>
    <tableColumn id="12" xr3:uid="{C147526B-CB3F-408B-BF27-7935EA7E8F91}" name="Category" dataDxfId="672">
      <calculatedColumnFormula>CHOOSE(RANDBETWEEN(1,3),"Technology","Furniture","Office Supplies")</calculatedColumnFormula>
    </tableColumn>
    <tableColumn id="13" xr3:uid="{0AAF1FBC-B99B-4219-8829-5A378411D873}" name="Sub_Category" dataDxfId="671">
      <calculatedColumnFormula>CHOOSE(RANDBETWEEN(1,5),"Mobile","Laptop","Chair","Table","Paper")</calculatedColumnFormula>
    </tableColumn>
    <tableColumn id="14" xr3:uid="{1EE9D756-43C2-45AD-BF73-A4A24F9ED938}" name="Product_Name" dataDxfId="670">
      <calculatedColumnFormula>CHOOSE(RANDBETWEEN(1,6),"Samsung Galaxy","HP Pavilion","Office Chair","Office Table","A4 Paper","Wireless Mouse")</calculatedColumnFormula>
    </tableColumn>
    <tableColumn id="15" xr3:uid="{62E34180-3D56-4045-B255-B509C64C563D}" name="Sales" dataDxfId="669">
      <calculatedColumnFormula>RANDBETWEEN(500,60000)</calculatedColumnFormula>
    </tableColumn>
    <tableColumn id="16" xr3:uid="{1D0F18F6-6CE0-43F1-A6EF-C384B5E9A703}" name="Quantity" dataDxfId="668">
      <calculatedColumnFormula>RANDBETWEEN(1,10)</calculatedColumnFormula>
    </tableColumn>
    <tableColumn id="17" xr3:uid="{1A59318E-1E24-4CBB-9FD6-F0CD3807188D}" name="Discount" dataDxfId="667" dataCellStyle="Percent">
      <calculatedColumnFormula>CHOOSE(RANDBETWEEN(1,5),0,0.05,0.1,0.2,0.3)</calculatedColumnFormula>
    </tableColumn>
    <tableColumn id="18" xr3:uid="{5F93CB22-D9C5-4B05-9925-179B187FD1FA}" name="Profit" dataDxfId="666">
      <calculatedColumnFormula>O2*(0.18-Q2)</calculatedColumnFormula>
    </tableColumn>
    <tableColumn id="19" xr3:uid="{AED86125-5DBE-4DA7-8DF4-050782F59508}" name="Order_Processing_Days" dataDxfId="665">
      <calculatedColumnFormula>C2-B2</calculatedColumnFormula>
    </tableColumn>
    <tableColumn id="20" xr3:uid="{A27B964A-7089-4754-9CC4-B54F790E744B}" name="Profit_Margin" dataDxfId="664" dataCellStyle="Percent">
      <calculatedColumnFormula>R2/O2</calculatedColumnFormula>
    </tableColumn>
    <tableColumn id="21" xr3:uid="{65EDD6ED-88A6-49FA-B7A3-0E437ED86196}" name="Discount_Flag" dataDxfId="663">
      <calculatedColumnFormula>IF(Q2&gt;=0.2,"High Discount","Low Discount")</calculatedColumnFormula>
    </tableColumn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4">
    <wetp:webextensionref xmlns:r="http://schemas.openxmlformats.org/officeDocument/2006/relationships" r:id="rId1"/>
  </wetp:taskpane>
  <wetp:taskpane dockstate="right" visibility="0" width="438" row="5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482CC3F8-BFB6-4408-BFB3-D86C09EA96BD}">
  <we:reference id="wa200005271" version="2.6.1.0" store="en-US" storeType="OMEX"/>
  <we:alternateReferences>
    <we:reference id="WA200005271" version="2.6.1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151A7727-CCA9-4A12-AD29-95897C54F4BE}">
  <we:reference id="wa200005502" version="1.0.0.12" store="en-IN" storeType="OMEX"/>
  <we:alternateReferences>
    <we:reference id="WA200005502" version="1.0.0.12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DAAA2-4C4E-4941-A2C5-9E95E2FBAD51}">
  <dimension ref="A2:C17"/>
  <sheetViews>
    <sheetView workbookViewId="0">
      <selection activeCell="E23" sqref="E23"/>
    </sheetView>
  </sheetViews>
  <sheetFormatPr defaultRowHeight="14.4" x14ac:dyDescent="0.3"/>
  <cols>
    <col min="1" max="1" width="12.44140625" bestFit="1" customWidth="1"/>
    <col min="2" max="2" width="11.5546875" bestFit="1" customWidth="1"/>
    <col min="3" max="3" width="14.21875" bestFit="1" customWidth="1"/>
    <col min="4" max="4" width="9.44140625" bestFit="1" customWidth="1"/>
    <col min="5" max="5" width="11.33203125" bestFit="1" customWidth="1"/>
    <col min="6" max="6" width="12.44140625" bestFit="1" customWidth="1"/>
    <col min="7" max="7" width="13.109375" bestFit="1" customWidth="1"/>
    <col min="8" max="8" width="12.44140625" bestFit="1" customWidth="1"/>
    <col min="9" max="9" width="7.21875" bestFit="1" customWidth="1"/>
    <col min="10" max="10" width="9.44140625" bestFit="1" customWidth="1"/>
    <col min="11" max="11" width="11.33203125" bestFit="1" customWidth="1"/>
    <col min="12" max="12" width="10.44140625" bestFit="1" customWidth="1"/>
    <col min="13" max="13" width="11.109375" bestFit="1" customWidth="1"/>
    <col min="14" max="14" width="16.109375" bestFit="1" customWidth="1"/>
    <col min="15" max="15" width="18.77734375" bestFit="1" customWidth="1"/>
  </cols>
  <sheetData>
    <row r="2" spans="1:3" x14ac:dyDescent="0.3">
      <c r="A2" s="38" t="s">
        <v>52</v>
      </c>
      <c r="B2" s="38"/>
      <c r="C2" s="38"/>
    </row>
    <row r="3" spans="1:3" x14ac:dyDescent="0.3">
      <c r="A3" s="38"/>
      <c r="B3" s="38"/>
      <c r="C3" s="38"/>
    </row>
    <row r="4" spans="1:3" x14ac:dyDescent="0.3">
      <c r="A4" s="27" t="s">
        <v>21</v>
      </c>
      <c r="B4" s="24" t="s">
        <v>23</v>
      </c>
      <c r="C4" s="24" t="s">
        <v>50</v>
      </c>
    </row>
    <row r="5" spans="1:3" x14ac:dyDescent="0.3">
      <c r="A5" s="37" t="s">
        <v>38</v>
      </c>
      <c r="B5" s="47">
        <v>968083</v>
      </c>
      <c r="C5" s="48">
        <v>231</v>
      </c>
    </row>
    <row r="6" spans="1:3" x14ac:dyDescent="0.3">
      <c r="A6" s="37" t="s">
        <v>39</v>
      </c>
      <c r="B6" s="47">
        <v>1302787</v>
      </c>
      <c r="C6" s="48">
        <v>235</v>
      </c>
    </row>
    <row r="7" spans="1:3" x14ac:dyDescent="0.3">
      <c r="A7" s="37" t="s">
        <v>40</v>
      </c>
      <c r="B7" s="47">
        <v>659315</v>
      </c>
      <c r="C7" s="48">
        <v>135</v>
      </c>
    </row>
    <row r="8" spans="1:3" x14ac:dyDescent="0.3">
      <c r="A8" s="37" t="s">
        <v>41</v>
      </c>
      <c r="B8" s="47">
        <v>1268763</v>
      </c>
      <c r="C8" s="48">
        <v>267</v>
      </c>
    </row>
    <row r="9" spans="1:3" x14ac:dyDescent="0.3">
      <c r="A9" s="37" t="s">
        <v>42</v>
      </c>
      <c r="B9" s="47">
        <v>1110194</v>
      </c>
      <c r="C9" s="48">
        <v>212</v>
      </c>
    </row>
    <row r="10" spans="1:3" x14ac:dyDescent="0.3">
      <c r="A10" s="37" t="s">
        <v>43</v>
      </c>
      <c r="B10" s="47">
        <v>1714736</v>
      </c>
      <c r="C10" s="48">
        <v>292</v>
      </c>
    </row>
    <row r="11" spans="1:3" x14ac:dyDescent="0.3">
      <c r="A11" s="37" t="s">
        <v>44</v>
      </c>
      <c r="B11" s="47">
        <v>1094067</v>
      </c>
      <c r="C11" s="48">
        <v>257</v>
      </c>
    </row>
    <row r="12" spans="1:3" x14ac:dyDescent="0.3">
      <c r="A12" s="37" t="s">
        <v>45</v>
      </c>
      <c r="B12" s="47">
        <v>1473413</v>
      </c>
      <c r="C12" s="48">
        <v>238</v>
      </c>
    </row>
    <row r="13" spans="1:3" x14ac:dyDescent="0.3">
      <c r="A13" s="37" t="s">
        <v>46</v>
      </c>
      <c r="B13" s="47">
        <v>1500468</v>
      </c>
      <c r="C13" s="48">
        <v>276</v>
      </c>
    </row>
    <row r="14" spans="1:3" x14ac:dyDescent="0.3">
      <c r="A14" s="37" t="s">
        <v>47</v>
      </c>
      <c r="B14" s="47">
        <v>1222698</v>
      </c>
      <c r="C14" s="48">
        <v>257</v>
      </c>
    </row>
    <row r="15" spans="1:3" x14ac:dyDescent="0.3">
      <c r="A15" s="37" t="s">
        <v>48</v>
      </c>
      <c r="B15" s="47">
        <v>1266221</v>
      </c>
      <c r="C15" s="48">
        <v>267</v>
      </c>
    </row>
    <row r="16" spans="1:3" x14ac:dyDescent="0.3">
      <c r="A16" s="37" t="s">
        <v>49</v>
      </c>
      <c r="B16" s="47">
        <v>1077025</v>
      </c>
      <c r="C16" s="48">
        <v>258</v>
      </c>
    </row>
    <row r="17" spans="1:3" x14ac:dyDescent="0.3">
      <c r="A17" s="34" t="s">
        <v>22</v>
      </c>
      <c r="B17" s="46">
        <v>14657770</v>
      </c>
      <c r="C17" s="46">
        <v>2925</v>
      </c>
    </row>
  </sheetData>
  <mergeCells count="1">
    <mergeCell ref="A2:C3"/>
  </mergeCell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4570C-B039-4937-8AEA-B75144F6074B}">
  <dimension ref="A2:D69"/>
  <sheetViews>
    <sheetView zoomScale="82" workbookViewId="0">
      <selection activeCell="K11" sqref="K11"/>
    </sheetView>
  </sheetViews>
  <sheetFormatPr defaultRowHeight="14.4" x14ac:dyDescent="0.3"/>
  <cols>
    <col min="1" max="1" width="18.6640625" bestFit="1" customWidth="1"/>
    <col min="2" max="2" width="11.88671875" bestFit="1" customWidth="1"/>
    <col min="3" max="3" width="12" bestFit="1" customWidth="1"/>
    <col min="4" max="4" width="14.77734375" bestFit="1" customWidth="1"/>
    <col min="5" max="17" width="6.33203125" bestFit="1" customWidth="1"/>
    <col min="18" max="18" width="7" bestFit="1" customWidth="1"/>
    <col min="19" max="23" width="6.33203125" bestFit="1" customWidth="1"/>
    <col min="24" max="25" width="6.77734375" bestFit="1" customWidth="1"/>
    <col min="26" max="26" width="7" bestFit="1" customWidth="1"/>
    <col min="27" max="30" width="6.77734375" bestFit="1" customWidth="1"/>
    <col min="31" max="31" width="7" bestFit="1" customWidth="1"/>
    <col min="32" max="32" width="6.77734375" bestFit="1" customWidth="1"/>
    <col min="33" max="33" width="7" bestFit="1" customWidth="1"/>
    <col min="34" max="34" width="6.77734375" bestFit="1" customWidth="1"/>
    <col min="35" max="36" width="7" bestFit="1" customWidth="1"/>
    <col min="37" max="41" width="6.77734375" bestFit="1" customWidth="1"/>
    <col min="42" max="42" width="7" bestFit="1" customWidth="1"/>
    <col min="43" max="59" width="6.77734375" bestFit="1" customWidth="1"/>
    <col min="60" max="60" width="7" bestFit="1" customWidth="1"/>
    <col min="61" max="63" width="6.5546875" bestFit="1" customWidth="1"/>
    <col min="64" max="64" width="7" bestFit="1" customWidth="1"/>
    <col min="65" max="69" width="6.5546875" bestFit="1" customWidth="1"/>
    <col min="70" max="70" width="7" bestFit="1" customWidth="1"/>
    <col min="71" max="74" width="6.5546875" bestFit="1" customWidth="1"/>
    <col min="75" max="75" width="7" bestFit="1" customWidth="1"/>
    <col min="76" max="80" width="6.5546875" bestFit="1" customWidth="1"/>
    <col min="81" max="81" width="7" bestFit="1" customWidth="1"/>
    <col min="82" max="83" width="6.5546875" bestFit="1" customWidth="1"/>
    <col min="84" max="104" width="7" bestFit="1" customWidth="1"/>
    <col min="105" max="108" width="6.33203125" bestFit="1" customWidth="1"/>
    <col min="109" max="110" width="7" bestFit="1" customWidth="1"/>
    <col min="111" max="114" width="6.33203125" bestFit="1" customWidth="1"/>
    <col min="115" max="115" width="7" bestFit="1" customWidth="1"/>
    <col min="116" max="122" width="6.33203125" bestFit="1" customWidth="1"/>
    <col min="123" max="123" width="7" bestFit="1" customWidth="1"/>
    <col min="124" max="124" width="6.33203125" bestFit="1" customWidth="1"/>
    <col min="125" max="125" width="7" bestFit="1" customWidth="1"/>
    <col min="126" max="128" width="6.33203125" bestFit="1" customWidth="1"/>
    <col min="129" max="129" width="7" bestFit="1" customWidth="1"/>
    <col min="130" max="140" width="6" bestFit="1" customWidth="1"/>
    <col min="141" max="141" width="5.88671875" bestFit="1" customWidth="1"/>
    <col min="142" max="155" width="6" bestFit="1" customWidth="1"/>
    <col min="156" max="160" width="6.6640625" bestFit="1" customWidth="1"/>
    <col min="161" max="161" width="7" bestFit="1" customWidth="1"/>
    <col min="162" max="168" width="6.6640625" bestFit="1" customWidth="1"/>
    <col min="169" max="169" width="7" bestFit="1" customWidth="1"/>
    <col min="170" max="176" width="6.6640625" bestFit="1" customWidth="1"/>
    <col min="177" max="177" width="7" bestFit="1" customWidth="1"/>
    <col min="178" max="179" width="6.88671875" bestFit="1" customWidth="1"/>
    <col min="180" max="180" width="7" bestFit="1" customWidth="1"/>
    <col min="181" max="185" width="6.88671875" bestFit="1" customWidth="1"/>
    <col min="186" max="186" width="7" bestFit="1" customWidth="1"/>
    <col min="187" max="192" width="6.88671875" bestFit="1" customWidth="1"/>
    <col min="193" max="193" width="7" bestFit="1" customWidth="1"/>
    <col min="194" max="198" width="6.88671875" bestFit="1" customWidth="1"/>
    <col min="199" max="199" width="7" bestFit="1" customWidth="1"/>
    <col min="200" max="200" width="6.88671875" bestFit="1" customWidth="1"/>
    <col min="201" max="201" width="6.6640625" bestFit="1" customWidth="1"/>
    <col min="202" max="202" width="7" bestFit="1" customWidth="1"/>
    <col min="203" max="217" width="6.6640625" bestFit="1" customWidth="1"/>
    <col min="218" max="218" width="7" bestFit="1" customWidth="1"/>
    <col min="219" max="224" width="6.6640625" bestFit="1" customWidth="1"/>
    <col min="225" max="225" width="7" bestFit="1" customWidth="1"/>
    <col min="226" max="234" width="6.88671875" bestFit="1" customWidth="1"/>
    <col min="235" max="235" width="7" bestFit="1" customWidth="1"/>
    <col min="236" max="241" width="6.88671875" bestFit="1" customWidth="1"/>
    <col min="242" max="242" width="7" bestFit="1" customWidth="1"/>
    <col min="243" max="248" width="6.88671875" bestFit="1" customWidth="1"/>
    <col min="249" max="250" width="7" bestFit="1" customWidth="1"/>
    <col min="251" max="270" width="6.88671875" bestFit="1" customWidth="1"/>
    <col min="271" max="271" width="12" bestFit="1" customWidth="1"/>
    <col min="272" max="272" width="8.6640625" bestFit="1" customWidth="1"/>
    <col min="273" max="273" width="9" bestFit="1" customWidth="1"/>
    <col min="274" max="274" width="7.6640625" bestFit="1" customWidth="1"/>
    <col min="275" max="275" width="7" bestFit="1" customWidth="1"/>
    <col min="276" max="278" width="8" bestFit="1" customWidth="1"/>
    <col min="279" max="279" width="8.6640625" bestFit="1" customWidth="1"/>
    <col min="280" max="282" width="8" bestFit="1" customWidth="1"/>
    <col min="283" max="283" width="6.33203125" bestFit="1" customWidth="1"/>
    <col min="284" max="284" width="8" bestFit="1" customWidth="1"/>
    <col min="285" max="285" width="8.6640625" bestFit="1" customWidth="1"/>
    <col min="286" max="288" width="8" bestFit="1" customWidth="1"/>
    <col min="289" max="290" width="7.6640625" bestFit="1" customWidth="1"/>
    <col min="291" max="291" width="8.6640625" bestFit="1" customWidth="1"/>
    <col min="292" max="293" width="8" bestFit="1" customWidth="1"/>
    <col min="294" max="294" width="7.6640625" bestFit="1" customWidth="1"/>
    <col min="295" max="295" width="8" bestFit="1" customWidth="1"/>
    <col min="296" max="296" width="8.6640625" bestFit="1" customWidth="1"/>
    <col min="297" max="298" width="8" bestFit="1" customWidth="1"/>
    <col min="299" max="299" width="9" bestFit="1" customWidth="1"/>
    <col min="300" max="301" width="8" bestFit="1" customWidth="1"/>
    <col min="302" max="305" width="8.6640625" bestFit="1" customWidth="1"/>
    <col min="306" max="306" width="8" bestFit="1" customWidth="1"/>
    <col min="307" max="307" width="8.6640625" bestFit="1" customWidth="1"/>
    <col min="308" max="309" width="8" bestFit="1" customWidth="1"/>
    <col min="310" max="310" width="7.6640625" bestFit="1" customWidth="1"/>
    <col min="311" max="311" width="9" bestFit="1" customWidth="1"/>
    <col min="312" max="313" width="8" bestFit="1" customWidth="1"/>
    <col min="314" max="314" width="9" bestFit="1" customWidth="1"/>
    <col min="315" max="315" width="7.6640625" bestFit="1" customWidth="1"/>
    <col min="316" max="317" width="8" bestFit="1" customWidth="1"/>
    <col min="318" max="318" width="7.6640625" bestFit="1" customWidth="1"/>
    <col min="319" max="319" width="8" bestFit="1" customWidth="1"/>
    <col min="320" max="320" width="6.77734375" bestFit="1" customWidth="1"/>
    <col min="321" max="321" width="7" bestFit="1" customWidth="1"/>
    <col min="322" max="325" width="8" bestFit="1" customWidth="1"/>
    <col min="326" max="326" width="8.6640625" bestFit="1" customWidth="1"/>
    <col min="327" max="327" width="7.6640625" bestFit="1" customWidth="1"/>
    <col min="328" max="328" width="8" bestFit="1" customWidth="1"/>
    <col min="329" max="329" width="9" bestFit="1" customWidth="1"/>
    <col min="330" max="331" width="7.6640625" bestFit="1" customWidth="1"/>
    <col min="332" max="332" width="7" bestFit="1" customWidth="1"/>
    <col min="333" max="333" width="9" bestFit="1" customWidth="1"/>
    <col min="334" max="334" width="8" bestFit="1" customWidth="1"/>
    <col min="335" max="335" width="7.6640625" bestFit="1" customWidth="1"/>
    <col min="336" max="337" width="8" bestFit="1" customWidth="1"/>
    <col min="338" max="338" width="6.5546875" bestFit="1" customWidth="1"/>
    <col min="339" max="339" width="8.6640625" bestFit="1" customWidth="1"/>
    <col min="340" max="342" width="8" bestFit="1" customWidth="1"/>
    <col min="343" max="344" width="9" bestFit="1" customWidth="1"/>
    <col min="345" max="345" width="7" bestFit="1" customWidth="1"/>
    <col min="346" max="346" width="7.6640625" bestFit="1" customWidth="1"/>
    <col min="347" max="347" width="8.6640625" bestFit="1" customWidth="1"/>
    <col min="348" max="348" width="6.5546875" bestFit="1" customWidth="1"/>
    <col min="349" max="349" width="8" bestFit="1" customWidth="1"/>
    <col min="350" max="350" width="9" bestFit="1" customWidth="1"/>
    <col min="351" max="351" width="8" bestFit="1" customWidth="1"/>
    <col min="352" max="352" width="7.6640625" bestFit="1" customWidth="1"/>
    <col min="353" max="353" width="8.6640625" bestFit="1" customWidth="1"/>
    <col min="354" max="355" width="8" bestFit="1" customWidth="1"/>
    <col min="356" max="357" width="7.6640625" bestFit="1" customWidth="1"/>
    <col min="358" max="358" width="9" bestFit="1" customWidth="1"/>
    <col min="359" max="360" width="8" bestFit="1" customWidth="1"/>
    <col min="361" max="361" width="8.6640625" bestFit="1" customWidth="1"/>
    <col min="362" max="362" width="8" bestFit="1" customWidth="1"/>
    <col min="363" max="364" width="7" bestFit="1" customWidth="1"/>
    <col min="365" max="365" width="9" bestFit="1" customWidth="1"/>
    <col min="366" max="366" width="8" bestFit="1" customWidth="1"/>
    <col min="367" max="367" width="8.6640625" bestFit="1" customWidth="1"/>
    <col min="368" max="368" width="8" bestFit="1" customWidth="1"/>
    <col min="369" max="369" width="7" bestFit="1" customWidth="1"/>
    <col min="370" max="370" width="8" bestFit="1" customWidth="1"/>
    <col min="371" max="371" width="8.6640625" bestFit="1" customWidth="1"/>
    <col min="372" max="372" width="8" bestFit="1" customWidth="1"/>
    <col min="373" max="373" width="8.6640625" bestFit="1" customWidth="1"/>
    <col min="374" max="375" width="8" bestFit="1" customWidth="1"/>
    <col min="376" max="376" width="9" bestFit="1" customWidth="1"/>
    <col min="377" max="377" width="7.6640625" bestFit="1" customWidth="1"/>
    <col min="378" max="379" width="8.6640625" bestFit="1" customWidth="1"/>
    <col min="380" max="380" width="6.6640625" bestFit="1" customWidth="1"/>
    <col min="381" max="383" width="8.6640625" bestFit="1" customWidth="1"/>
    <col min="384" max="384" width="9" bestFit="1" customWidth="1"/>
    <col min="385" max="386" width="8.6640625" bestFit="1" customWidth="1"/>
    <col min="387" max="387" width="8" bestFit="1" customWidth="1"/>
    <col min="388" max="388" width="7.6640625" bestFit="1" customWidth="1"/>
    <col min="389" max="391" width="8" bestFit="1" customWidth="1"/>
    <col min="392" max="392" width="8.6640625" bestFit="1" customWidth="1"/>
    <col min="393" max="393" width="8" bestFit="1" customWidth="1"/>
    <col min="394" max="394" width="8.6640625" bestFit="1" customWidth="1"/>
    <col min="395" max="396" width="8" bestFit="1" customWidth="1"/>
    <col min="397" max="397" width="8.6640625" bestFit="1" customWidth="1"/>
    <col min="398" max="398" width="9" bestFit="1" customWidth="1"/>
    <col min="399" max="399" width="7" bestFit="1" customWidth="1"/>
    <col min="400" max="400" width="8.6640625" bestFit="1" customWidth="1"/>
    <col min="401" max="401" width="8" bestFit="1" customWidth="1"/>
    <col min="402" max="402" width="8.6640625" bestFit="1" customWidth="1"/>
    <col min="403" max="403" width="7.6640625" bestFit="1" customWidth="1"/>
    <col min="404" max="404" width="8" bestFit="1" customWidth="1"/>
    <col min="405" max="405" width="7" bestFit="1" customWidth="1"/>
    <col min="406" max="406" width="8" bestFit="1" customWidth="1"/>
    <col min="407" max="407" width="9" bestFit="1" customWidth="1"/>
    <col min="408" max="408" width="8.6640625" bestFit="1" customWidth="1"/>
    <col min="409" max="414" width="8" bestFit="1" customWidth="1"/>
    <col min="415" max="415" width="7.6640625" bestFit="1" customWidth="1"/>
    <col min="416" max="417" width="8" bestFit="1" customWidth="1"/>
    <col min="418" max="418" width="8.6640625" bestFit="1" customWidth="1"/>
    <col min="419" max="419" width="8" bestFit="1" customWidth="1"/>
    <col min="420" max="420" width="7.6640625" bestFit="1" customWidth="1"/>
    <col min="421" max="421" width="9" bestFit="1" customWidth="1"/>
    <col min="422" max="422" width="8" bestFit="1" customWidth="1"/>
    <col min="423" max="423" width="8.6640625" bestFit="1" customWidth="1"/>
    <col min="424" max="424" width="7.6640625" bestFit="1" customWidth="1"/>
    <col min="425" max="425" width="8" bestFit="1" customWidth="1"/>
    <col min="426" max="426" width="9" bestFit="1" customWidth="1"/>
    <col min="427" max="427" width="8" bestFit="1" customWidth="1"/>
    <col min="428" max="428" width="9.6640625" bestFit="1" customWidth="1"/>
    <col min="429" max="430" width="8.6640625" bestFit="1" customWidth="1"/>
    <col min="431" max="431" width="7.6640625" bestFit="1" customWidth="1"/>
    <col min="432" max="434" width="8" bestFit="1" customWidth="1"/>
    <col min="435" max="435" width="8.6640625" bestFit="1" customWidth="1"/>
    <col min="436" max="436" width="8" bestFit="1" customWidth="1"/>
    <col min="437" max="437" width="7.6640625" bestFit="1" customWidth="1"/>
    <col min="438" max="439" width="8.6640625" bestFit="1" customWidth="1"/>
    <col min="440" max="440" width="8" bestFit="1" customWidth="1"/>
    <col min="441" max="443" width="8.6640625" bestFit="1" customWidth="1"/>
    <col min="444" max="444" width="8" bestFit="1" customWidth="1"/>
    <col min="445" max="445" width="9" bestFit="1" customWidth="1"/>
    <col min="446" max="446" width="8.6640625" bestFit="1" customWidth="1"/>
    <col min="447" max="448" width="8" bestFit="1" customWidth="1"/>
    <col min="449" max="449" width="8.6640625" bestFit="1" customWidth="1"/>
    <col min="450" max="451" width="8" bestFit="1" customWidth="1"/>
    <col min="452" max="452" width="7.6640625" bestFit="1" customWidth="1"/>
    <col min="453" max="455" width="8.6640625" bestFit="1" customWidth="1"/>
    <col min="456" max="456" width="6.88671875" bestFit="1" customWidth="1"/>
    <col min="457" max="457" width="8" bestFit="1" customWidth="1"/>
    <col min="458" max="458" width="9" bestFit="1" customWidth="1"/>
    <col min="459" max="459" width="8" bestFit="1" customWidth="1"/>
    <col min="460" max="461" width="8.6640625" bestFit="1" customWidth="1"/>
    <col min="462" max="462" width="9" bestFit="1" customWidth="1"/>
    <col min="463" max="464" width="8" bestFit="1" customWidth="1"/>
    <col min="465" max="466" width="8.6640625" bestFit="1" customWidth="1"/>
    <col min="467" max="467" width="8" bestFit="1" customWidth="1"/>
    <col min="468" max="468" width="8.6640625" bestFit="1" customWidth="1"/>
    <col min="469" max="469" width="8" bestFit="1" customWidth="1"/>
    <col min="470" max="470" width="7.6640625" bestFit="1" customWidth="1"/>
    <col min="471" max="471" width="8" bestFit="1" customWidth="1"/>
    <col min="472" max="472" width="8.6640625" bestFit="1" customWidth="1"/>
    <col min="473" max="474" width="9" bestFit="1" customWidth="1"/>
    <col min="475" max="479" width="8" bestFit="1" customWidth="1"/>
    <col min="480" max="480" width="6.6640625" bestFit="1" customWidth="1"/>
    <col min="481" max="482" width="8" bestFit="1" customWidth="1"/>
    <col min="483" max="483" width="7" bestFit="1" customWidth="1"/>
    <col min="484" max="484" width="8" bestFit="1" customWidth="1"/>
    <col min="485" max="485" width="8.6640625" bestFit="1" customWidth="1"/>
    <col min="486" max="486" width="7" bestFit="1" customWidth="1"/>
    <col min="487" max="487" width="9" bestFit="1" customWidth="1"/>
    <col min="488" max="488" width="8" bestFit="1" customWidth="1"/>
    <col min="489" max="489" width="8.6640625" bestFit="1" customWidth="1"/>
    <col min="490" max="490" width="8" bestFit="1" customWidth="1"/>
    <col min="491" max="491" width="7.6640625" bestFit="1" customWidth="1"/>
    <col min="492" max="492" width="8" bestFit="1" customWidth="1"/>
    <col min="493" max="495" width="8.6640625" bestFit="1" customWidth="1"/>
    <col min="496" max="496" width="8" bestFit="1" customWidth="1"/>
    <col min="497" max="498" width="6.88671875" bestFit="1" customWidth="1"/>
    <col min="499" max="499" width="8" bestFit="1" customWidth="1"/>
    <col min="500" max="501" width="8.6640625" bestFit="1" customWidth="1"/>
    <col min="502" max="502" width="7" bestFit="1" customWidth="1"/>
    <col min="503" max="504" width="9" bestFit="1" customWidth="1"/>
    <col min="505" max="507" width="8" bestFit="1" customWidth="1"/>
    <col min="508" max="508" width="7.6640625" bestFit="1" customWidth="1"/>
    <col min="509" max="509" width="8.6640625" bestFit="1" customWidth="1"/>
    <col min="510" max="510" width="8" bestFit="1" customWidth="1"/>
    <col min="511" max="511" width="8.6640625" bestFit="1" customWidth="1"/>
    <col min="512" max="512" width="9" bestFit="1" customWidth="1"/>
    <col min="513" max="514" width="8.6640625" bestFit="1" customWidth="1"/>
    <col min="515" max="515" width="8" bestFit="1" customWidth="1"/>
    <col min="516" max="516" width="7.6640625" bestFit="1" customWidth="1"/>
    <col min="517" max="517" width="8.6640625" bestFit="1" customWidth="1"/>
    <col min="518" max="519" width="9" bestFit="1" customWidth="1"/>
    <col min="520" max="521" width="7.6640625" bestFit="1" customWidth="1"/>
    <col min="522" max="522" width="7" bestFit="1" customWidth="1"/>
    <col min="523" max="523" width="8" bestFit="1" customWidth="1"/>
    <col min="524" max="524" width="7.6640625" bestFit="1" customWidth="1"/>
    <col min="525" max="525" width="8" bestFit="1" customWidth="1"/>
    <col min="526" max="526" width="8.6640625" bestFit="1" customWidth="1"/>
    <col min="527" max="528" width="8" bestFit="1" customWidth="1"/>
    <col min="529" max="529" width="7" bestFit="1" customWidth="1"/>
    <col min="530" max="530" width="9" bestFit="1" customWidth="1"/>
    <col min="531" max="531" width="8.6640625" bestFit="1" customWidth="1"/>
    <col min="532" max="532" width="7" bestFit="1" customWidth="1"/>
    <col min="533" max="535" width="8" bestFit="1" customWidth="1"/>
    <col min="536" max="536" width="7.6640625" bestFit="1" customWidth="1"/>
    <col min="537" max="537" width="8" bestFit="1" customWidth="1"/>
    <col min="538" max="538" width="8.6640625" bestFit="1" customWidth="1"/>
    <col min="539" max="539" width="8" bestFit="1" customWidth="1"/>
    <col min="540" max="540" width="14.77734375" bestFit="1" customWidth="1"/>
    <col min="541" max="561" width="6.33203125" bestFit="1" customWidth="1"/>
    <col min="562" max="597" width="6.77734375" bestFit="1" customWidth="1"/>
    <col min="598" max="621" width="6.5546875" bestFit="1" customWidth="1"/>
    <col min="622" max="642" width="7" bestFit="1" customWidth="1"/>
    <col min="643" max="667" width="6.33203125" bestFit="1" customWidth="1"/>
    <col min="668" max="693" width="5.88671875" bestFit="1" customWidth="1"/>
    <col min="694" max="715" width="6.6640625" bestFit="1" customWidth="1"/>
    <col min="716" max="738" width="6.88671875" bestFit="1" customWidth="1"/>
    <col min="739" max="762" width="6.6640625" bestFit="1" customWidth="1"/>
    <col min="763" max="808" width="6.88671875" bestFit="1" customWidth="1"/>
    <col min="809" max="809" width="16.77734375" bestFit="1" customWidth="1"/>
    <col min="810" max="810" width="16.88671875" bestFit="1" customWidth="1"/>
    <col min="811" max="811" width="19.44140625" bestFit="1" customWidth="1"/>
  </cols>
  <sheetData>
    <row r="2" spans="1:4" x14ac:dyDescent="0.3">
      <c r="A2" s="39" t="s">
        <v>51</v>
      </c>
      <c r="B2" s="39"/>
      <c r="C2" s="39"/>
      <c r="D2" s="39"/>
    </row>
    <row r="3" spans="1:4" x14ac:dyDescent="0.3">
      <c r="A3" s="39"/>
      <c r="B3" s="39"/>
      <c r="C3" s="39"/>
      <c r="D3" s="39"/>
    </row>
    <row r="4" spans="1:4" x14ac:dyDescent="0.3">
      <c r="A4" s="35" t="s">
        <v>21</v>
      </c>
      <c r="B4" s="26" t="s">
        <v>23</v>
      </c>
      <c r="C4" s="36" t="s">
        <v>27</v>
      </c>
      <c r="D4" s="36" t="s">
        <v>50</v>
      </c>
    </row>
    <row r="5" spans="1:4" x14ac:dyDescent="0.3">
      <c r="A5" s="31" t="s">
        <v>28</v>
      </c>
      <c r="B5" s="32">
        <v>3360656</v>
      </c>
      <c r="C5" s="33">
        <v>234067.83</v>
      </c>
      <c r="D5" s="33">
        <v>670</v>
      </c>
    </row>
    <row r="6" spans="1:4" x14ac:dyDescent="0.3">
      <c r="A6" s="40" t="s">
        <v>24</v>
      </c>
      <c r="B6" s="41">
        <v>1003679</v>
      </c>
      <c r="C6" s="42">
        <v>71940.87</v>
      </c>
      <c r="D6" s="42">
        <v>185</v>
      </c>
    </row>
    <row r="7" spans="1:4" x14ac:dyDescent="0.3">
      <c r="A7" s="40" t="s">
        <v>25</v>
      </c>
      <c r="B7" s="41">
        <v>1206073</v>
      </c>
      <c r="C7" s="42">
        <v>93000.63999999997</v>
      </c>
      <c r="D7" s="42">
        <v>251</v>
      </c>
    </row>
    <row r="8" spans="1:4" x14ac:dyDescent="0.3">
      <c r="A8" s="28" t="s">
        <v>33</v>
      </c>
      <c r="B8" s="25">
        <v>219474</v>
      </c>
      <c r="C8" s="24">
        <v>25036.32</v>
      </c>
      <c r="D8" s="24">
        <v>43</v>
      </c>
    </row>
    <row r="9" spans="1:4" x14ac:dyDescent="0.3">
      <c r="A9" s="28" t="s">
        <v>35</v>
      </c>
      <c r="B9" s="25">
        <v>227222</v>
      </c>
      <c r="C9" s="24">
        <v>9391.8599999999969</v>
      </c>
      <c r="D9" s="24">
        <v>59</v>
      </c>
    </row>
    <row r="10" spans="1:4" x14ac:dyDescent="0.3">
      <c r="A10" s="28" t="s">
        <v>34</v>
      </c>
      <c r="B10" s="25">
        <v>102506</v>
      </c>
      <c r="C10" s="24">
        <v>-660.72000000000025</v>
      </c>
      <c r="D10" s="24">
        <v>22</v>
      </c>
    </row>
    <row r="11" spans="1:4" x14ac:dyDescent="0.3">
      <c r="A11" s="28" t="s">
        <v>37</v>
      </c>
      <c r="B11" s="25">
        <v>349730</v>
      </c>
      <c r="C11" s="24">
        <v>38474.69999999999</v>
      </c>
      <c r="D11" s="24">
        <v>62</v>
      </c>
    </row>
    <row r="12" spans="1:4" x14ac:dyDescent="0.3">
      <c r="A12" s="28" t="s">
        <v>32</v>
      </c>
      <c r="B12" s="25">
        <v>230629</v>
      </c>
      <c r="C12" s="24">
        <v>15116.219999999998</v>
      </c>
      <c r="D12" s="24">
        <v>16</v>
      </c>
    </row>
    <row r="13" spans="1:4" x14ac:dyDescent="0.3">
      <c r="A13" s="28" t="s">
        <v>36</v>
      </c>
      <c r="B13" s="25">
        <v>76512</v>
      </c>
      <c r="C13" s="24">
        <v>5642.26</v>
      </c>
      <c r="D13" s="24">
        <v>49</v>
      </c>
    </row>
    <row r="14" spans="1:4" x14ac:dyDescent="0.3">
      <c r="A14" s="40" t="s">
        <v>26</v>
      </c>
      <c r="B14" s="41">
        <v>1150904</v>
      </c>
      <c r="C14" s="42">
        <v>69126.319999999992</v>
      </c>
      <c r="D14" s="42">
        <v>234</v>
      </c>
    </row>
    <row r="15" spans="1:4" x14ac:dyDescent="0.3">
      <c r="A15" s="28" t="s">
        <v>33</v>
      </c>
      <c r="B15" s="25">
        <v>193020</v>
      </c>
      <c r="C15" s="24">
        <v>1118.6999999999966</v>
      </c>
      <c r="D15" s="24">
        <v>42</v>
      </c>
    </row>
    <row r="16" spans="1:4" x14ac:dyDescent="0.3">
      <c r="A16" s="28" t="s">
        <v>35</v>
      </c>
      <c r="B16" s="25">
        <v>147486</v>
      </c>
      <c r="C16" s="24">
        <v>1048.679999999998</v>
      </c>
      <c r="D16" s="24">
        <v>39</v>
      </c>
    </row>
    <row r="17" spans="1:4" x14ac:dyDescent="0.3">
      <c r="A17" s="28" t="s">
        <v>34</v>
      </c>
      <c r="B17" s="25">
        <v>170945</v>
      </c>
      <c r="C17" s="24">
        <v>22118</v>
      </c>
      <c r="D17" s="24">
        <v>14</v>
      </c>
    </row>
    <row r="18" spans="1:4" x14ac:dyDescent="0.3">
      <c r="A18" s="28" t="s">
        <v>37</v>
      </c>
      <c r="B18" s="25">
        <v>194199</v>
      </c>
      <c r="C18" s="24">
        <v>10517.22</v>
      </c>
      <c r="D18" s="24">
        <v>59</v>
      </c>
    </row>
    <row r="19" spans="1:4" x14ac:dyDescent="0.3">
      <c r="A19" s="28" t="s">
        <v>32</v>
      </c>
      <c r="B19" s="25">
        <v>226865</v>
      </c>
      <c r="C19" s="24">
        <v>11704.3</v>
      </c>
      <c r="D19" s="24">
        <v>42</v>
      </c>
    </row>
    <row r="20" spans="1:4" x14ac:dyDescent="0.3">
      <c r="A20" s="28" t="s">
        <v>36</v>
      </c>
      <c r="B20" s="25">
        <v>218389</v>
      </c>
      <c r="C20" s="24">
        <v>22619.420000000002</v>
      </c>
      <c r="D20" s="24">
        <v>38</v>
      </c>
    </row>
    <row r="21" spans="1:4" x14ac:dyDescent="0.3">
      <c r="A21" s="31" t="s">
        <v>29</v>
      </c>
      <c r="B21" s="30">
        <v>3896496</v>
      </c>
      <c r="C21" s="29">
        <v>174147.17999999996</v>
      </c>
      <c r="D21" s="33">
        <v>763</v>
      </c>
    </row>
    <row r="22" spans="1:4" x14ac:dyDescent="0.3">
      <c r="A22" s="40" t="s">
        <v>24</v>
      </c>
      <c r="B22" s="41">
        <v>1109299</v>
      </c>
      <c r="C22" s="42">
        <v>54831.169999999991</v>
      </c>
      <c r="D22" s="42">
        <v>212</v>
      </c>
    </row>
    <row r="23" spans="1:4" x14ac:dyDescent="0.3">
      <c r="A23" s="40" t="s">
        <v>25</v>
      </c>
      <c r="B23" s="41">
        <v>1356134</v>
      </c>
      <c r="C23" s="42">
        <v>47531.069999999985</v>
      </c>
      <c r="D23" s="42">
        <v>275</v>
      </c>
    </row>
    <row r="24" spans="1:4" x14ac:dyDescent="0.3">
      <c r="A24" s="28" t="s">
        <v>33</v>
      </c>
      <c r="B24" s="25">
        <v>198598</v>
      </c>
      <c r="C24" s="24">
        <v>10194.689999999999</v>
      </c>
      <c r="D24" s="24">
        <v>53</v>
      </c>
    </row>
    <row r="25" spans="1:4" x14ac:dyDescent="0.3">
      <c r="A25" s="28" t="s">
        <v>35</v>
      </c>
      <c r="B25" s="25">
        <v>155754</v>
      </c>
      <c r="C25" s="24">
        <v>8796.8199999999979</v>
      </c>
      <c r="D25" s="24">
        <v>34</v>
      </c>
    </row>
    <row r="26" spans="1:4" x14ac:dyDescent="0.3">
      <c r="A26" s="28" t="s">
        <v>34</v>
      </c>
      <c r="B26" s="25">
        <v>254767</v>
      </c>
      <c r="C26" s="24">
        <v>7703.0099999999966</v>
      </c>
      <c r="D26" s="24">
        <v>50</v>
      </c>
    </row>
    <row r="27" spans="1:4" x14ac:dyDescent="0.3">
      <c r="A27" s="28" t="s">
        <v>37</v>
      </c>
      <c r="B27" s="25">
        <v>369968</v>
      </c>
      <c r="C27" s="24">
        <v>3162.4399999999982</v>
      </c>
      <c r="D27" s="24">
        <v>42</v>
      </c>
    </row>
    <row r="28" spans="1:4" x14ac:dyDescent="0.3">
      <c r="A28" s="28" t="s">
        <v>32</v>
      </c>
      <c r="B28" s="25">
        <v>150044</v>
      </c>
      <c r="C28" s="24">
        <v>18284.62</v>
      </c>
      <c r="D28" s="24">
        <v>37</v>
      </c>
    </row>
    <row r="29" spans="1:4" x14ac:dyDescent="0.3">
      <c r="A29" s="28" t="s">
        <v>36</v>
      </c>
      <c r="B29" s="25">
        <v>227003</v>
      </c>
      <c r="C29" s="24">
        <v>-610.51</v>
      </c>
      <c r="D29" s="24">
        <v>59</v>
      </c>
    </row>
    <row r="30" spans="1:4" x14ac:dyDescent="0.3">
      <c r="A30" s="40" t="s">
        <v>26</v>
      </c>
      <c r="B30" s="41">
        <v>1431063</v>
      </c>
      <c r="C30" s="42">
        <v>71784.939999999988</v>
      </c>
      <c r="D30" s="42">
        <v>276</v>
      </c>
    </row>
    <row r="31" spans="1:4" x14ac:dyDescent="0.3">
      <c r="A31" s="28" t="s">
        <v>33</v>
      </c>
      <c r="B31" s="25">
        <v>171305</v>
      </c>
      <c r="C31" s="24">
        <v>11086.9</v>
      </c>
      <c r="D31" s="24">
        <v>32</v>
      </c>
    </row>
    <row r="32" spans="1:4" x14ac:dyDescent="0.3">
      <c r="A32" s="28" t="s">
        <v>35</v>
      </c>
      <c r="B32" s="25">
        <v>256826</v>
      </c>
      <c r="C32" s="24">
        <v>18063.079999999998</v>
      </c>
      <c r="D32" s="24">
        <v>44</v>
      </c>
    </row>
    <row r="33" spans="1:4" x14ac:dyDescent="0.3">
      <c r="A33" s="28" t="s">
        <v>34</v>
      </c>
      <c r="B33" s="25">
        <v>188186</v>
      </c>
      <c r="C33" s="24">
        <v>4162.6799999999985</v>
      </c>
      <c r="D33" s="24">
        <v>46</v>
      </c>
    </row>
    <row r="34" spans="1:4" x14ac:dyDescent="0.3">
      <c r="A34" s="28" t="s">
        <v>37</v>
      </c>
      <c r="B34" s="25">
        <v>243340</v>
      </c>
      <c r="C34" s="24">
        <v>19273</v>
      </c>
      <c r="D34" s="24">
        <v>59</v>
      </c>
    </row>
    <row r="35" spans="1:4" x14ac:dyDescent="0.3">
      <c r="A35" s="28" t="s">
        <v>32</v>
      </c>
      <c r="B35" s="25">
        <v>265036</v>
      </c>
      <c r="C35" s="24">
        <v>2304.4799999999991</v>
      </c>
      <c r="D35" s="24">
        <v>55</v>
      </c>
    </row>
    <row r="36" spans="1:4" x14ac:dyDescent="0.3">
      <c r="A36" s="28" t="s">
        <v>36</v>
      </c>
      <c r="B36" s="25">
        <v>306370</v>
      </c>
      <c r="C36" s="24">
        <v>16894.799999999996</v>
      </c>
      <c r="D36" s="24">
        <v>40</v>
      </c>
    </row>
    <row r="37" spans="1:4" x14ac:dyDescent="0.3">
      <c r="A37" s="31" t="s">
        <v>30</v>
      </c>
      <c r="B37" s="30">
        <v>3700399</v>
      </c>
      <c r="C37" s="29">
        <v>174885.46999999997</v>
      </c>
      <c r="D37" s="33">
        <v>812</v>
      </c>
    </row>
    <row r="38" spans="1:4" x14ac:dyDescent="0.3">
      <c r="A38" s="40" t="s">
        <v>24</v>
      </c>
      <c r="B38" s="41">
        <v>1225792</v>
      </c>
      <c r="C38" s="42">
        <v>40203.210000000006</v>
      </c>
      <c r="D38" s="42">
        <v>280</v>
      </c>
    </row>
    <row r="39" spans="1:4" x14ac:dyDescent="0.3">
      <c r="A39" s="40" t="s">
        <v>25</v>
      </c>
      <c r="B39" s="41">
        <v>1314561</v>
      </c>
      <c r="C39" s="42">
        <v>42902.53</v>
      </c>
      <c r="D39" s="42">
        <v>299</v>
      </c>
    </row>
    <row r="40" spans="1:4" x14ac:dyDescent="0.3">
      <c r="A40" s="28" t="s">
        <v>33</v>
      </c>
      <c r="B40" s="25">
        <v>177626</v>
      </c>
      <c r="C40" s="24">
        <v>5614.5299999999979</v>
      </c>
      <c r="D40" s="24">
        <v>53</v>
      </c>
    </row>
    <row r="41" spans="1:4" x14ac:dyDescent="0.3">
      <c r="A41" s="28" t="s">
        <v>35</v>
      </c>
      <c r="B41" s="25">
        <v>216783</v>
      </c>
      <c r="C41" s="24">
        <v>2643.19</v>
      </c>
      <c r="D41" s="24">
        <v>46</v>
      </c>
    </row>
    <row r="42" spans="1:4" x14ac:dyDescent="0.3">
      <c r="A42" s="28" t="s">
        <v>34</v>
      </c>
      <c r="B42" s="25">
        <v>230956</v>
      </c>
      <c r="C42" s="24">
        <v>5634.9799999999987</v>
      </c>
      <c r="D42" s="24">
        <v>63</v>
      </c>
    </row>
    <row r="43" spans="1:4" x14ac:dyDescent="0.3">
      <c r="A43" s="28" t="s">
        <v>37</v>
      </c>
      <c r="B43" s="25">
        <v>96771</v>
      </c>
      <c r="C43" s="24">
        <v>6071.23</v>
      </c>
      <c r="D43" s="24">
        <v>29</v>
      </c>
    </row>
    <row r="44" spans="1:4" x14ac:dyDescent="0.3">
      <c r="A44" s="28" t="s">
        <v>32</v>
      </c>
      <c r="B44" s="25">
        <v>399135</v>
      </c>
      <c r="C44" s="24">
        <v>27649.399999999998</v>
      </c>
      <c r="D44" s="24">
        <v>60</v>
      </c>
    </row>
    <row r="45" spans="1:4" x14ac:dyDescent="0.3">
      <c r="A45" s="28" t="s">
        <v>36</v>
      </c>
      <c r="B45" s="25">
        <v>193290</v>
      </c>
      <c r="C45" s="24">
        <v>-4710.7999999999993</v>
      </c>
      <c r="D45" s="24">
        <v>48</v>
      </c>
    </row>
    <row r="46" spans="1:4" x14ac:dyDescent="0.3">
      <c r="A46" s="40" t="s">
        <v>26</v>
      </c>
      <c r="B46" s="41">
        <v>1160046</v>
      </c>
      <c r="C46" s="42">
        <v>91779.729999999981</v>
      </c>
      <c r="D46" s="42">
        <v>233</v>
      </c>
    </row>
    <row r="47" spans="1:4" x14ac:dyDescent="0.3">
      <c r="A47" s="28" t="s">
        <v>33</v>
      </c>
      <c r="B47" s="25">
        <v>188910</v>
      </c>
      <c r="C47" s="24">
        <v>19357.599999999995</v>
      </c>
      <c r="D47" s="24">
        <v>21</v>
      </c>
    </row>
    <row r="48" spans="1:4" x14ac:dyDescent="0.3">
      <c r="A48" s="28" t="s">
        <v>35</v>
      </c>
      <c r="B48" s="25">
        <v>225753</v>
      </c>
      <c r="C48" s="24">
        <v>11784.439999999997</v>
      </c>
      <c r="D48" s="24">
        <v>59</v>
      </c>
    </row>
    <row r="49" spans="1:4" x14ac:dyDescent="0.3">
      <c r="A49" s="28" t="s">
        <v>34</v>
      </c>
      <c r="B49" s="25">
        <v>45251</v>
      </c>
      <c r="C49" s="24">
        <v>-2959.32</v>
      </c>
      <c r="D49" s="24">
        <v>12</v>
      </c>
    </row>
    <row r="50" spans="1:4" x14ac:dyDescent="0.3">
      <c r="A50" s="28" t="s">
        <v>37</v>
      </c>
      <c r="B50" s="25">
        <v>199432</v>
      </c>
      <c r="C50" s="24">
        <v>14421.509999999998</v>
      </c>
      <c r="D50" s="24">
        <v>32</v>
      </c>
    </row>
    <row r="51" spans="1:4" x14ac:dyDescent="0.3">
      <c r="A51" s="28" t="s">
        <v>32</v>
      </c>
      <c r="B51" s="25">
        <v>277961</v>
      </c>
      <c r="C51" s="24">
        <v>18346.03</v>
      </c>
      <c r="D51" s="24">
        <v>68</v>
      </c>
    </row>
    <row r="52" spans="1:4" x14ac:dyDescent="0.3">
      <c r="A52" s="28" t="s">
        <v>36</v>
      </c>
      <c r="B52" s="25">
        <v>222739</v>
      </c>
      <c r="C52" s="24">
        <v>30829.469999999994</v>
      </c>
      <c r="D52" s="24">
        <v>41</v>
      </c>
    </row>
    <row r="53" spans="1:4" x14ac:dyDescent="0.3">
      <c r="A53" s="31" t="s">
        <v>31</v>
      </c>
      <c r="B53" s="30">
        <v>3718720</v>
      </c>
      <c r="C53" s="29">
        <v>214599.54999999993</v>
      </c>
      <c r="D53" s="33">
        <v>690</v>
      </c>
    </row>
    <row r="54" spans="1:4" x14ac:dyDescent="0.3">
      <c r="A54" s="40" t="s">
        <v>24</v>
      </c>
      <c r="B54" s="41">
        <v>1066330</v>
      </c>
      <c r="C54" s="42">
        <v>49673.299999999996</v>
      </c>
      <c r="D54" s="42">
        <v>195</v>
      </c>
    </row>
    <row r="55" spans="1:4" x14ac:dyDescent="0.3">
      <c r="A55" s="40" t="s">
        <v>25</v>
      </c>
      <c r="B55" s="41">
        <v>1481613</v>
      </c>
      <c r="C55" s="42">
        <v>61737.039999999986</v>
      </c>
      <c r="D55" s="42">
        <v>280</v>
      </c>
    </row>
    <row r="56" spans="1:4" x14ac:dyDescent="0.3">
      <c r="A56" s="28" t="s">
        <v>33</v>
      </c>
      <c r="B56" s="25">
        <v>202539</v>
      </c>
      <c r="C56" s="24">
        <v>8048.7199999999993</v>
      </c>
      <c r="D56" s="24">
        <v>51</v>
      </c>
    </row>
    <row r="57" spans="1:4" x14ac:dyDescent="0.3">
      <c r="A57" s="28" t="s">
        <v>35</v>
      </c>
      <c r="B57" s="25">
        <v>157038</v>
      </c>
      <c r="C57" s="24">
        <v>7599.6899999999987</v>
      </c>
      <c r="D57" s="24">
        <v>22</v>
      </c>
    </row>
    <row r="58" spans="1:4" x14ac:dyDescent="0.3">
      <c r="A58" s="28" t="s">
        <v>34</v>
      </c>
      <c r="B58" s="25">
        <v>291957</v>
      </c>
      <c r="C58" s="24">
        <v>9180.5599999999959</v>
      </c>
      <c r="D58" s="24">
        <v>58</v>
      </c>
    </row>
    <row r="59" spans="1:4" x14ac:dyDescent="0.3">
      <c r="A59" s="28" t="s">
        <v>37</v>
      </c>
      <c r="B59" s="25">
        <v>282164</v>
      </c>
      <c r="C59" s="24">
        <v>24982.369999999995</v>
      </c>
      <c r="D59" s="24">
        <v>59</v>
      </c>
    </row>
    <row r="60" spans="1:4" x14ac:dyDescent="0.3">
      <c r="A60" s="28" t="s">
        <v>32</v>
      </c>
      <c r="B60" s="25">
        <v>317910</v>
      </c>
      <c r="C60" s="24">
        <v>7866.0999999999976</v>
      </c>
      <c r="D60" s="24">
        <v>50</v>
      </c>
    </row>
    <row r="61" spans="1:4" x14ac:dyDescent="0.3">
      <c r="A61" s="28" t="s">
        <v>36</v>
      </c>
      <c r="B61" s="25">
        <v>230005</v>
      </c>
      <c r="C61" s="24">
        <v>4059.5999999999985</v>
      </c>
      <c r="D61" s="24">
        <v>40</v>
      </c>
    </row>
    <row r="62" spans="1:4" x14ac:dyDescent="0.3">
      <c r="A62" s="40" t="s">
        <v>26</v>
      </c>
      <c r="B62" s="41">
        <v>1170777</v>
      </c>
      <c r="C62" s="42">
        <v>103189.20999999999</v>
      </c>
      <c r="D62" s="42">
        <v>215</v>
      </c>
    </row>
    <row r="63" spans="1:4" x14ac:dyDescent="0.3">
      <c r="A63" s="28" t="s">
        <v>33</v>
      </c>
      <c r="B63" s="25">
        <v>228154</v>
      </c>
      <c r="C63" s="24">
        <v>23141.019999999997</v>
      </c>
      <c r="D63" s="24">
        <v>24</v>
      </c>
    </row>
    <row r="64" spans="1:4" x14ac:dyDescent="0.3">
      <c r="A64" s="28" t="s">
        <v>35</v>
      </c>
      <c r="B64" s="25">
        <v>234986</v>
      </c>
      <c r="C64" s="24">
        <v>28911.780000000002</v>
      </c>
      <c r="D64" s="24">
        <v>58</v>
      </c>
    </row>
    <row r="65" spans="1:4" x14ac:dyDescent="0.3">
      <c r="A65" s="28" t="s">
        <v>34</v>
      </c>
      <c r="B65" s="25">
        <v>171342</v>
      </c>
      <c r="C65" s="24">
        <v>9404.2599999999984</v>
      </c>
      <c r="D65" s="24">
        <v>41</v>
      </c>
    </row>
    <row r="66" spans="1:4" x14ac:dyDescent="0.3">
      <c r="A66" s="28" t="s">
        <v>37</v>
      </c>
      <c r="B66" s="25">
        <v>74972</v>
      </c>
      <c r="C66" s="24">
        <v>13494.96</v>
      </c>
      <c r="D66" s="24">
        <v>10</v>
      </c>
    </row>
    <row r="67" spans="1:4" x14ac:dyDescent="0.3">
      <c r="A67" s="28" t="s">
        <v>32</v>
      </c>
      <c r="B67" s="25">
        <v>185698</v>
      </c>
      <c r="C67" s="24">
        <v>5203.2400000000016</v>
      </c>
      <c r="D67" s="24">
        <v>41</v>
      </c>
    </row>
    <row r="68" spans="1:4" x14ac:dyDescent="0.3">
      <c r="A68" s="28" t="s">
        <v>36</v>
      </c>
      <c r="B68" s="25">
        <v>275625</v>
      </c>
      <c r="C68" s="24">
        <v>23033.949999999997</v>
      </c>
      <c r="D68" s="24">
        <v>41</v>
      </c>
    </row>
    <row r="69" spans="1:4" x14ac:dyDescent="0.3">
      <c r="A69" s="43" t="s">
        <v>22</v>
      </c>
      <c r="B69" s="44">
        <v>14676271</v>
      </c>
      <c r="C69" s="45">
        <v>797700.0299999998</v>
      </c>
      <c r="D69" s="45">
        <v>2935</v>
      </c>
    </row>
  </sheetData>
  <mergeCells count="1">
    <mergeCell ref="A2:D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1E488-70CF-4B57-815E-B165BFB7571A}">
  <dimension ref="A1:U502"/>
  <sheetViews>
    <sheetView tabSelected="1" zoomScale="76" zoomScaleNormal="52" workbookViewId="0">
      <selection activeCell="G25" sqref="G25"/>
    </sheetView>
  </sheetViews>
  <sheetFormatPr defaultRowHeight="15.6" customHeight="1" x14ac:dyDescent="0.3"/>
  <cols>
    <col min="1" max="1" width="12.33203125" customWidth="1"/>
    <col min="2" max="2" width="15" style="12" customWidth="1"/>
    <col min="3" max="3" width="13.88671875" customWidth="1"/>
    <col min="4" max="4" width="16" bestFit="1" customWidth="1"/>
    <col min="5" max="5" width="17.109375" customWidth="1"/>
    <col min="6" max="6" width="21" customWidth="1"/>
    <col min="7" max="7" width="13.33203125" customWidth="1"/>
    <col min="8" max="8" width="11.5546875" customWidth="1"/>
    <col min="9" max="9" width="10.33203125" customWidth="1"/>
    <col min="10" max="10" width="13.44140625" bestFit="1" customWidth="1"/>
    <col min="11" max="11" width="12.88671875" bestFit="1" customWidth="1"/>
    <col min="12" max="12" width="16.33203125" bestFit="1" customWidth="1"/>
    <col min="13" max="13" width="17.88671875" customWidth="1"/>
    <col min="14" max="14" width="18.77734375" customWidth="1"/>
    <col min="15" max="15" width="8.77734375" customWidth="1"/>
    <col min="16" max="16" width="12" customWidth="1"/>
    <col min="17" max="17" width="12.77734375" style="21" customWidth="1"/>
    <col min="18" max="18" width="13.33203125" customWidth="1"/>
    <col min="19" max="19" width="27.21875" bestFit="1" customWidth="1"/>
    <col min="20" max="20" width="15.6640625" style="21" bestFit="1" customWidth="1"/>
    <col min="21" max="21" width="16.5546875" bestFit="1" customWidth="1"/>
    <col min="25" max="25" width="12.44140625" bestFit="1" customWidth="1"/>
    <col min="26" max="26" width="11.77734375" bestFit="1" customWidth="1"/>
  </cols>
  <sheetData>
    <row r="1" spans="1:21" s="2" customFormat="1" ht="26.4" customHeight="1" x14ac:dyDescent="0.35">
      <c r="A1" s="4" t="s">
        <v>20</v>
      </c>
      <c r="B1" s="9" t="s">
        <v>0</v>
      </c>
      <c r="C1" s="5" t="s">
        <v>16</v>
      </c>
      <c r="D1" s="5" t="s">
        <v>1</v>
      </c>
      <c r="E1" s="5" t="s">
        <v>2</v>
      </c>
      <c r="F1" s="5" t="s">
        <v>3</v>
      </c>
      <c r="G1" s="5" t="s">
        <v>15</v>
      </c>
      <c r="H1" s="5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22" t="s">
        <v>13</v>
      </c>
      <c r="R1" s="6" t="s">
        <v>14</v>
      </c>
      <c r="S1" s="16" t="s">
        <v>17</v>
      </c>
      <c r="T1" s="17" t="s">
        <v>18</v>
      </c>
      <c r="U1" s="16" t="s">
        <v>19</v>
      </c>
    </row>
    <row r="2" spans="1:21" ht="15.6" customHeight="1" x14ac:dyDescent="0.3">
      <c r="A2" s="1" t="str">
        <f t="shared" ref="A2:A65" si="0">"ORD-"&amp;(ROW()-1)</f>
        <v>ORD-1</v>
      </c>
      <c r="B2" s="10">
        <f ca="1">DATE(2024,1,1)+RANDBETWEEN(1,365)</f>
        <v>45650</v>
      </c>
      <c r="C2" s="7">
        <f t="shared" ref="C2:C65" ca="1" si="1">B2+RANDBETWEEN(0,5)</f>
        <v>45654</v>
      </c>
      <c r="D2" s="1" t="str">
        <f ca="1">CHOOSE(RANDBETWEEN(1,3),"Standard Class","Second Class","Same Day")</f>
        <v>Second Class</v>
      </c>
      <c r="E2" s="1" t="str">
        <f ca="1">"CU-"&amp;RANDBETWEEN(100,999)</f>
        <v>CU-930</v>
      </c>
      <c r="F2" s="1" t="str">
        <f ca="1">CHOOSE(RANDBETWEEN(1,8),"Rahul Sharma","Amit Verma","Priya Singh","Sunil Kumar","Neha Gupta","Ravi Mehta","Pooja Yadav","Arjun Malhotra")</f>
        <v>Priya Singh</v>
      </c>
      <c r="G2" s="1" t="str">
        <f ca="1">CHOOSE(RANDBETWEEN(1,3),"Consumer","Corporate","Home Office")</f>
        <v>Corporate</v>
      </c>
      <c r="H2" s="1" t="str">
        <f>"India"</f>
        <v>India</v>
      </c>
      <c r="I2" s="1" t="str">
        <f ca="1">CHOOSE(RANDBETWEEN(1,4),"North","South","East","West")</f>
        <v>South</v>
      </c>
      <c r="J2" s="1" t="str">
        <f ca="1">CHOOSE(RANDBETWEEN(1,6),"Delhi","Maharashtra","Karnataka","West Bengal","Gujarat","Tamil Nadu")</f>
        <v>Tamil Nadu</v>
      </c>
      <c r="K2" s="1" t="str">
        <f ca="1">CHOOSE(RANDBETWEEN(1,6),"Delhi","Mumbai","Bangalore","Kolkata","Ahmedabad","Chennai")</f>
        <v>Kolkata</v>
      </c>
      <c r="L2" s="1" t="str">
        <f ca="1">CHOOSE(RANDBETWEEN(1,3),"Technology","Furniture","Office Supplies")</f>
        <v>Office Supplies</v>
      </c>
      <c r="M2" s="1" t="str">
        <f ca="1">CHOOSE(RANDBETWEEN(1,5),"Mobile","Laptop","Chair","Table","Paper")</f>
        <v>Table</v>
      </c>
      <c r="N2" s="1" t="str">
        <f ca="1">CHOOSE(RANDBETWEEN(1,6),"Samsung Galaxy","HP Pavilion","Office Chair","Office Table","A4 Paper","Wireless Mouse")</f>
        <v>Office Chair</v>
      </c>
      <c r="O2" s="1">
        <f ca="1">RANDBETWEEN(500,60000)</f>
        <v>41955</v>
      </c>
      <c r="P2" s="1">
        <f ca="1">RANDBETWEEN(1,10)</f>
        <v>6</v>
      </c>
      <c r="Q2" s="19">
        <f ca="1">CHOOSE(RANDBETWEEN(1,5),0,0.05,0.1,0.2,0.3)</f>
        <v>0.1</v>
      </c>
      <c r="R2" s="1">
        <f ca="1">O2*(0.18-Q2)</f>
        <v>3356.3999999999996</v>
      </c>
      <c r="S2" s="15">
        <f t="shared" ref="S2:S65" ca="1" si="2">C2-B2</f>
        <v>4</v>
      </c>
      <c r="T2" s="18">
        <f t="shared" ref="T2:T65" ca="1" si="3">R2/O2</f>
        <v>7.9999999999999988E-2</v>
      </c>
      <c r="U2" s="15" t="str">
        <f t="shared" ref="U2:U65" ca="1" si="4">IF(Q2&gt;=0.2,"High Discount","Low Discount")</f>
        <v>Low Discount</v>
      </c>
    </row>
    <row r="3" spans="1:21" ht="15.6" customHeight="1" x14ac:dyDescent="0.3">
      <c r="A3" s="1" t="str">
        <f t="shared" si="0"/>
        <v>ORD-2</v>
      </c>
      <c r="B3" s="10">
        <f t="shared" ref="B3:B65" ca="1" si="5">DATE(2024,1,1)+RANDBETWEEN(1,365)</f>
        <v>45548</v>
      </c>
      <c r="C3" s="7">
        <f t="shared" ca="1" si="1"/>
        <v>45548</v>
      </c>
      <c r="D3" s="1" t="str">
        <f t="shared" ref="D3:D66" ca="1" si="6">CHOOSE(RANDBETWEEN(1,3),"Standard Class","Second Class","Same Day")</f>
        <v>Second Class</v>
      </c>
      <c r="E3" s="1" t="str">
        <f t="shared" ref="E3:E66" ca="1" si="7">"CU-"&amp;RANDBETWEEN(100,999)</f>
        <v>CU-106</v>
      </c>
      <c r="F3" s="1" t="str">
        <f t="shared" ref="F3:F66" ca="1" si="8">CHOOSE(RANDBETWEEN(1,8),"Rahul Sharma","Amit Verma","Priya Singh","Sunil Kumar","Neha Gupta","Ravi Mehta","Pooja Yadav","Arjun Malhotra")</f>
        <v>Pooja Yadav</v>
      </c>
      <c r="G3" s="1" t="str">
        <f t="shared" ref="G3:G66" ca="1" si="9">CHOOSE(RANDBETWEEN(1,3),"Consumer","Corporate","Home Office")</f>
        <v>Corporate</v>
      </c>
      <c r="H3" s="1" t="str">
        <f t="shared" ref="H3:H66" si="10">"India"</f>
        <v>India</v>
      </c>
      <c r="I3" s="1" t="str">
        <f t="shared" ref="I3:I66" ca="1" si="11">CHOOSE(RANDBETWEEN(1,4),"North","South","East","West")</f>
        <v>West</v>
      </c>
      <c r="J3" s="1" t="str">
        <f t="shared" ref="J3:J66" ca="1" si="12">CHOOSE(RANDBETWEEN(1,6),"Delhi","Maharashtra","Karnataka","West Bengal","Gujarat","Tamil Nadu")</f>
        <v>Karnataka</v>
      </c>
      <c r="K3" s="1" t="str">
        <f t="shared" ref="K3:K66" ca="1" si="13">CHOOSE(RANDBETWEEN(1,6),"Delhi","Mumbai","Bangalore","Kolkata","Ahmedabad","Chennai")</f>
        <v>Kolkata</v>
      </c>
      <c r="L3" s="1" t="str">
        <f t="shared" ref="L3:L66" ca="1" si="14">CHOOSE(RANDBETWEEN(1,3),"Technology","Furniture","Office Supplies")</f>
        <v>Furniture</v>
      </c>
      <c r="M3" s="1" t="str">
        <f t="shared" ref="M3:M66" ca="1" si="15">CHOOSE(RANDBETWEEN(1,5),"Mobile","Laptop","Chair","Table","Paper")</f>
        <v>Table</v>
      </c>
      <c r="N3" s="1" t="str">
        <f t="shared" ref="N3:N66" ca="1" si="16">CHOOSE(RANDBETWEEN(1,6),"Samsung Galaxy","HP Pavilion","Office Chair","Office Table","A4 Paper","Wireless Mouse")</f>
        <v>Samsung Galaxy</v>
      </c>
      <c r="O3" s="1">
        <f t="shared" ref="O3:O66" ca="1" si="17">RANDBETWEEN(500,60000)</f>
        <v>11617</v>
      </c>
      <c r="P3" s="1">
        <f t="shared" ref="P3:P66" ca="1" si="18">RANDBETWEEN(1,10)</f>
        <v>6</v>
      </c>
      <c r="Q3" s="19">
        <f t="shared" ref="Q3:Q66" ca="1" si="19">CHOOSE(RANDBETWEEN(1,5),0,0.05,0.1,0.2,0.3)</f>
        <v>0</v>
      </c>
      <c r="R3" s="1">
        <f t="shared" ref="R3:R66" ca="1" si="20">O3*(0.18-Q3)</f>
        <v>2091.06</v>
      </c>
      <c r="S3" s="1">
        <f t="shared" ca="1" si="2"/>
        <v>0</v>
      </c>
      <c r="T3" s="19">
        <f t="shared" ca="1" si="3"/>
        <v>0.18</v>
      </c>
      <c r="U3" s="1" t="str">
        <f t="shared" ca="1" si="4"/>
        <v>Low Discount</v>
      </c>
    </row>
    <row r="4" spans="1:21" ht="15.6" customHeight="1" x14ac:dyDescent="0.3">
      <c r="A4" s="1" t="str">
        <f t="shared" si="0"/>
        <v>ORD-3</v>
      </c>
      <c r="B4" s="10">
        <f t="shared" ca="1" si="5"/>
        <v>45555</v>
      </c>
      <c r="C4" s="7">
        <f t="shared" ca="1" si="1"/>
        <v>45558</v>
      </c>
      <c r="D4" s="1" t="str">
        <f t="shared" ca="1" si="6"/>
        <v>Second Class</v>
      </c>
      <c r="E4" s="1" t="str">
        <f t="shared" ca="1" si="7"/>
        <v>CU-155</v>
      </c>
      <c r="F4" s="1" t="str">
        <f t="shared" ca="1" si="8"/>
        <v>Ravi Mehta</v>
      </c>
      <c r="G4" s="1" t="str">
        <f t="shared" ca="1" si="9"/>
        <v>Corporate</v>
      </c>
      <c r="H4" s="1" t="str">
        <f t="shared" si="10"/>
        <v>India</v>
      </c>
      <c r="I4" s="1" t="str">
        <f t="shared" ca="1" si="11"/>
        <v>East</v>
      </c>
      <c r="J4" s="1" t="str">
        <f t="shared" ca="1" si="12"/>
        <v>Tamil Nadu</v>
      </c>
      <c r="K4" s="1" t="str">
        <f t="shared" ca="1" si="13"/>
        <v>Mumbai</v>
      </c>
      <c r="L4" s="1" t="str">
        <f t="shared" ca="1" si="14"/>
        <v>Office Supplies</v>
      </c>
      <c r="M4" s="1" t="str">
        <f t="shared" ca="1" si="15"/>
        <v>Table</v>
      </c>
      <c r="N4" s="1" t="str">
        <f t="shared" ca="1" si="16"/>
        <v>Office Chair</v>
      </c>
      <c r="O4" s="1">
        <f t="shared" ca="1" si="17"/>
        <v>19040</v>
      </c>
      <c r="P4" s="1">
        <f t="shared" ca="1" si="18"/>
        <v>4</v>
      </c>
      <c r="Q4" s="19">
        <f t="shared" ca="1" si="19"/>
        <v>0.05</v>
      </c>
      <c r="R4" s="1">
        <f t="shared" ca="1" si="20"/>
        <v>2475.2000000000003</v>
      </c>
      <c r="S4" s="1">
        <f t="shared" ca="1" si="2"/>
        <v>3</v>
      </c>
      <c r="T4" s="19">
        <f t="shared" ca="1" si="3"/>
        <v>0.13</v>
      </c>
      <c r="U4" s="1" t="str">
        <f t="shared" ca="1" si="4"/>
        <v>Low Discount</v>
      </c>
    </row>
    <row r="5" spans="1:21" ht="15.6" customHeight="1" x14ac:dyDescent="0.3">
      <c r="A5" s="1" t="str">
        <f t="shared" si="0"/>
        <v>ORD-4</v>
      </c>
      <c r="B5" s="10">
        <f t="shared" ca="1" si="5"/>
        <v>45550</v>
      </c>
      <c r="C5" s="7">
        <f t="shared" ca="1" si="1"/>
        <v>45554</v>
      </c>
      <c r="D5" s="1" t="str">
        <f t="shared" ca="1" si="6"/>
        <v>Second Class</v>
      </c>
      <c r="E5" s="1" t="str">
        <f t="shared" ca="1" si="7"/>
        <v>CU-943</v>
      </c>
      <c r="F5" s="1" t="str">
        <f t="shared" ca="1" si="8"/>
        <v>Arjun Malhotra</v>
      </c>
      <c r="G5" s="1" t="str">
        <f t="shared" ca="1" si="9"/>
        <v>Consumer</v>
      </c>
      <c r="H5" s="1" t="str">
        <f t="shared" si="10"/>
        <v>India</v>
      </c>
      <c r="I5" s="1" t="str">
        <f t="shared" ca="1" si="11"/>
        <v>South</v>
      </c>
      <c r="J5" s="1" t="str">
        <f t="shared" ca="1" si="12"/>
        <v>Delhi</v>
      </c>
      <c r="K5" s="1" t="str">
        <f t="shared" ca="1" si="13"/>
        <v>Delhi</v>
      </c>
      <c r="L5" s="1" t="str">
        <f t="shared" ca="1" si="14"/>
        <v>Furniture</v>
      </c>
      <c r="M5" s="1" t="str">
        <f t="shared" ca="1" si="15"/>
        <v>Chair</v>
      </c>
      <c r="N5" s="1" t="str">
        <f t="shared" ca="1" si="16"/>
        <v>Office Chair</v>
      </c>
      <c r="O5" s="1">
        <f t="shared" ca="1" si="17"/>
        <v>39556</v>
      </c>
      <c r="P5" s="1">
        <f t="shared" ca="1" si="18"/>
        <v>6</v>
      </c>
      <c r="Q5" s="19">
        <f t="shared" ca="1" si="19"/>
        <v>0.1</v>
      </c>
      <c r="R5" s="1">
        <f t="shared" ca="1" si="20"/>
        <v>3164.4799999999996</v>
      </c>
      <c r="S5" s="1">
        <f t="shared" ca="1" si="2"/>
        <v>4</v>
      </c>
      <c r="T5" s="19">
        <f t="shared" ca="1" si="3"/>
        <v>7.9999999999999988E-2</v>
      </c>
      <c r="U5" s="1" t="str">
        <f t="shared" ca="1" si="4"/>
        <v>Low Discount</v>
      </c>
    </row>
    <row r="6" spans="1:21" ht="15.6" customHeight="1" x14ac:dyDescent="0.3">
      <c r="A6" s="1" t="str">
        <f t="shared" si="0"/>
        <v>ORD-5</v>
      </c>
      <c r="B6" s="10">
        <f ca="1">DATE(2024,1,1)+RANDBETWEEN(1,365)</f>
        <v>45436</v>
      </c>
      <c r="C6" s="7">
        <f t="shared" ca="1" si="1"/>
        <v>45437</v>
      </c>
      <c r="D6" s="1" t="str">
        <f t="shared" ca="1" si="6"/>
        <v>Standard Class</v>
      </c>
      <c r="E6" s="1" t="str">
        <f t="shared" ca="1" si="7"/>
        <v>CU-820</v>
      </c>
      <c r="F6" s="1" t="str">
        <f t="shared" ca="1" si="8"/>
        <v>Ravi Mehta</v>
      </c>
      <c r="G6" s="1" t="str">
        <f t="shared" ca="1" si="9"/>
        <v>Home Office</v>
      </c>
      <c r="H6" s="1" t="str">
        <f t="shared" si="10"/>
        <v>India</v>
      </c>
      <c r="I6" s="1" t="str">
        <f t="shared" ca="1" si="11"/>
        <v>North</v>
      </c>
      <c r="J6" s="1" t="str">
        <f t="shared" ca="1" si="12"/>
        <v>Gujarat</v>
      </c>
      <c r="K6" s="1" t="str">
        <f t="shared" ca="1" si="13"/>
        <v>Ahmedabad</v>
      </c>
      <c r="L6" s="1" t="str">
        <f t="shared" ca="1" si="14"/>
        <v>Office Supplies</v>
      </c>
      <c r="M6" s="1" t="str">
        <f t="shared" ca="1" si="15"/>
        <v>Laptop</v>
      </c>
      <c r="N6" s="1" t="str">
        <f t="shared" ca="1" si="16"/>
        <v>Samsung Galaxy</v>
      </c>
      <c r="O6" s="1">
        <f t="shared" ca="1" si="17"/>
        <v>14912</v>
      </c>
      <c r="P6" s="1">
        <f t="shared" ca="1" si="18"/>
        <v>1</v>
      </c>
      <c r="Q6" s="19">
        <f t="shared" ca="1" si="19"/>
        <v>0.2</v>
      </c>
      <c r="R6" s="1">
        <f t="shared" ca="1" si="20"/>
        <v>-298.24000000000024</v>
      </c>
      <c r="S6" s="1">
        <f t="shared" ca="1" si="2"/>
        <v>1</v>
      </c>
      <c r="T6" s="19">
        <f t="shared" ca="1" si="3"/>
        <v>-2.0000000000000014E-2</v>
      </c>
      <c r="U6" s="1" t="str">
        <f t="shared" ca="1" si="4"/>
        <v>High Discount</v>
      </c>
    </row>
    <row r="7" spans="1:21" ht="15.6" customHeight="1" x14ac:dyDescent="0.3">
      <c r="A7" s="1" t="str">
        <f t="shared" si="0"/>
        <v>ORD-6</v>
      </c>
      <c r="B7" s="10">
        <f t="shared" ca="1" si="5"/>
        <v>45513</v>
      </c>
      <c r="C7" s="7">
        <f t="shared" ca="1" si="1"/>
        <v>45518</v>
      </c>
      <c r="D7" s="1" t="str">
        <f t="shared" ca="1" si="6"/>
        <v>Second Class</v>
      </c>
      <c r="E7" s="1" t="str">
        <f t="shared" ca="1" si="7"/>
        <v>CU-816</v>
      </c>
      <c r="F7" s="1" t="str">
        <f t="shared" ca="1" si="8"/>
        <v>Rahul Sharma</v>
      </c>
      <c r="G7" s="1" t="str">
        <f t="shared" ca="1" si="9"/>
        <v>Corporate</v>
      </c>
      <c r="H7" s="1" t="str">
        <f t="shared" si="10"/>
        <v>India</v>
      </c>
      <c r="I7" s="1" t="str">
        <f t="shared" ca="1" si="11"/>
        <v>West</v>
      </c>
      <c r="J7" s="1" t="str">
        <f t="shared" ca="1" si="12"/>
        <v>West Bengal</v>
      </c>
      <c r="K7" s="1" t="str">
        <f t="shared" ca="1" si="13"/>
        <v>Mumbai</v>
      </c>
      <c r="L7" s="1" t="str">
        <f t="shared" ca="1" si="14"/>
        <v>Furniture</v>
      </c>
      <c r="M7" s="1" t="str">
        <f t="shared" ca="1" si="15"/>
        <v>Paper</v>
      </c>
      <c r="N7" s="1" t="str">
        <f t="shared" ca="1" si="16"/>
        <v>Office Chair</v>
      </c>
      <c r="O7" s="1">
        <f t="shared" ca="1" si="17"/>
        <v>4496</v>
      </c>
      <c r="P7" s="1">
        <f t="shared" ca="1" si="18"/>
        <v>4</v>
      </c>
      <c r="Q7" s="19">
        <f t="shared" ca="1" si="19"/>
        <v>0.3</v>
      </c>
      <c r="R7" s="1">
        <f t="shared" ca="1" si="20"/>
        <v>-539.52</v>
      </c>
      <c r="S7" s="1">
        <f t="shared" ca="1" si="2"/>
        <v>5</v>
      </c>
      <c r="T7" s="19">
        <f t="shared" ca="1" si="3"/>
        <v>-0.12</v>
      </c>
      <c r="U7" s="1" t="str">
        <f t="shared" ca="1" si="4"/>
        <v>High Discount</v>
      </c>
    </row>
    <row r="8" spans="1:21" ht="15.6" customHeight="1" x14ac:dyDescent="0.3">
      <c r="A8" s="1" t="str">
        <f t="shared" si="0"/>
        <v>ORD-7</v>
      </c>
      <c r="B8" s="10">
        <f t="shared" ca="1" si="5"/>
        <v>45615</v>
      </c>
      <c r="C8" s="7">
        <f t="shared" ca="1" si="1"/>
        <v>45619</v>
      </c>
      <c r="D8" s="1" t="str">
        <f t="shared" ca="1" si="6"/>
        <v>Standard Class</v>
      </c>
      <c r="E8" s="1" t="str">
        <f t="shared" ca="1" si="7"/>
        <v>CU-344</v>
      </c>
      <c r="F8" s="1" t="str">
        <f t="shared" ca="1" si="8"/>
        <v>Amit Verma</v>
      </c>
      <c r="G8" s="1" t="str">
        <f t="shared" ca="1" si="9"/>
        <v>Home Office</v>
      </c>
      <c r="H8" s="1" t="str">
        <f t="shared" si="10"/>
        <v>India</v>
      </c>
      <c r="I8" s="1" t="str">
        <f t="shared" ca="1" si="11"/>
        <v>East</v>
      </c>
      <c r="J8" s="1" t="str">
        <f t="shared" ca="1" si="12"/>
        <v>Tamil Nadu</v>
      </c>
      <c r="K8" s="1" t="str">
        <f t="shared" ca="1" si="13"/>
        <v>Kolkata</v>
      </c>
      <c r="L8" s="1" t="str">
        <f t="shared" ca="1" si="14"/>
        <v>Office Supplies</v>
      </c>
      <c r="M8" s="1" t="str">
        <f t="shared" ca="1" si="15"/>
        <v>Paper</v>
      </c>
      <c r="N8" s="1" t="str">
        <f t="shared" ca="1" si="16"/>
        <v>HP Pavilion</v>
      </c>
      <c r="O8" s="1">
        <f t="shared" ca="1" si="17"/>
        <v>14858</v>
      </c>
      <c r="P8" s="1">
        <f t="shared" ca="1" si="18"/>
        <v>4</v>
      </c>
      <c r="Q8" s="19">
        <f t="shared" ca="1" si="19"/>
        <v>0.3</v>
      </c>
      <c r="R8" s="1">
        <f t="shared" ca="1" si="20"/>
        <v>-1782.96</v>
      </c>
      <c r="S8" s="1">
        <f t="shared" ca="1" si="2"/>
        <v>4</v>
      </c>
      <c r="T8" s="19">
        <f t="shared" ca="1" si="3"/>
        <v>-0.12</v>
      </c>
      <c r="U8" s="1" t="str">
        <f t="shared" ca="1" si="4"/>
        <v>High Discount</v>
      </c>
    </row>
    <row r="9" spans="1:21" ht="15.6" customHeight="1" x14ac:dyDescent="0.3">
      <c r="A9" s="1" t="str">
        <f t="shared" si="0"/>
        <v>ORD-8</v>
      </c>
      <c r="B9" s="10">
        <f t="shared" ca="1" si="5"/>
        <v>45585</v>
      </c>
      <c r="C9" s="7">
        <f t="shared" ca="1" si="1"/>
        <v>45585</v>
      </c>
      <c r="D9" s="1" t="str">
        <f t="shared" ca="1" si="6"/>
        <v>Same Day</v>
      </c>
      <c r="E9" s="1" t="str">
        <f t="shared" ca="1" si="7"/>
        <v>CU-109</v>
      </c>
      <c r="F9" s="1" t="str">
        <f t="shared" ca="1" si="8"/>
        <v>Neha Gupta</v>
      </c>
      <c r="G9" s="1" t="str">
        <f t="shared" ca="1" si="9"/>
        <v>Home Office</v>
      </c>
      <c r="H9" s="1" t="str">
        <f t="shared" si="10"/>
        <v>India</v>
      </c>
      <c r="I9" s="1" t="str">
        <f t="shared" ca="1" si="11"/>
        <v>South</v>
      </c>
      <c r="J9" s="1" t="str">
        <f t="shared" ca="1" si="12"/>
        <v>West Bengal</v>
      </c>
      <c r="K9" s="1" t="str">
        <f t="shared" ca="1" si="13"/>
        <v>Delhi</v>
      </c>
      <c r="L9" s="1" t="str">
        <f t="shared" ca="1" si="14"/>
        <v>Office Supplies</v>
      </c>
      <c r="M9" s="1" t="str">
        <f t="shared" ca="1" si="15"/>
        <v>Table</v>
      </c>
      <c r="N9" s="1" t="str">
        <f t="shared" ca="1" si="16"/>
        <v>Office Table</v>
      </c>
      <c r="O9" s="1">
        <f t="shared" ca="1" si="17"/>
        <v>56293</v>
      </c>
      <c r="P9" s="1">
        <f t="shared" ca="1" si="18"/>
        <v>9</v>
      </c>
      <c r="Q9" s="19">
        <f t="shared" ca="1" si="19"/>
        <v>0.2</v>
      </c>
      <c r="R9" s="1">
        <f t="shared" ca="1" si="20"/>
        <v>-1125.860000000001</v>
      </c>
      <c r="S9" s="1">
        <f t="shared" ca="1" si="2"/>
        <v>0</v>
      </c>
      <c r="T9" s="19">
        <f t="shared" ca="1" si="3"/>
        <v>-2.0000000000000018E-2</v>
      </c>
      <c r="U9" s="1" t="str">
        <f t="shared" ca="1" si="4"/>
        <v>High Discount</v>
      </c>
    </row>
    <row r="10" spans="1:21" ht="15.6" customHeight="1" x14ac:dyDescent="0.3">
      <c r="A10" s="1" t="str">
        <f t="shared" si="0"/>
        <v>ORD-9</v>
      </c>
      <c r="B10" s="10">
        <f t="shared" ca="1" si="5"/>
        <v>45588</v>
      </c>
      <c r="C10" s="7">
        <f t="shared" ca="1" si="1"/>
        <v>45591</v>
      </c>
      <c r="D10" s="1" t="str">
        <f t="shared" ca="1" si="6"/>
        <v>Same Day</v>
      </c>
      <c r="E10" s="1" t="str">
        <f t="shared" ca="1" si="7"/>
        <v>CU-836</v>
      </c>
      <c r="F10" s="1" t="str">
        <f t="shared" ca="1" si="8"/>
        <v>Priya Singh</v>
      </c>
      <c r="G10" s="1" t="str">
        <f t="shared" ca="1" si="9"/>
        <v>Home Office</v>
      </c>
      <c r="H10" s="1" t="str">
        <f t="shared" si="10"/>
        <v>India</v>
      </c>
      <c r="I10" s="1" t="str">
        <f t="shared" ca="1" si="11"/>
        <v>West</v>
      </c>
      <c r="J10" s="1" t="str">
        <f t="shared" ca="1" si="12"/>
        <v>Karnataka</v>
      </c>
      <c r="K10" s="1" t="str">
        <f t="shared" ca="1" si="13"/>
        <v>Bangalore</v>
      </c>
      <c r="L10" s="1" t="str">
        <f t="shared" ca="1" si="14"/>
        <v>Technology</v>
      </c>
      <c r="M10" s="1" t="str">
        <f t="shared" ca="1" si="15"/>
        <v>Chair</v>
      </c>
      <c r="N10" s="1" t="str">
        <f t="shared" ca="1" si="16"/>
        <v>Office Chair</v>
      </c>
      <c r="O10" s="1">
        <f t="shared" ca="1" si="17"/>
        <v>53908</v>
      </c>
      <c r="P10" s="1">
        <f t="shared" ca="1" si="18"/>
        <v>10</v>
      </c>
      <c r="Q10" s="19">
        <f t="shared" ca="1" si="19"/>
        <v>0.05</v>
      </c>
      <c r="R10" s="1">
        <f t="shared" ca="1" si="20"/>
        <v>7008.04</v>
      </c>
      <c r="S10" s="1">
        <f t="shared" ca="1" si="2"/>
        <v>3</v>
      </c>
      <c r="T10" s="19">
        <f t="shared" ca="1" si="3"/>
        <v>0.13</v>
      </c>
      <c r="U10" s="1" t="str">
        <f t="shared" ca="1" si="4"/>
        <v>Low Discount</v>
      </c>
    </row>
    <row r="11" spans="1:21" ht="15.6" customHeight="1" x14ac:dyDescent="0.3">
      <c r="A11" s="1" t="str">
        <f t="shared" si="0"/>
        <v>ORD-10</v>
      </c>
      <c r="B11" s="10">
        <f t="shared" ca="1" si="5"/>
        <v>45458</v>
      </c>
      <c r="C11" s="7">
        <f t="shared" ca="1" si="1"/>
        <v>45461</v>
      </c>
      <c r="D11" s="1" t="str">
        <f t="shared" ca="1" si="6"/>
        <v>Second Class</v>
      </c>
      <c r="E11" s="1" t="str">
        <f t="shared" ca="1" si="7"/>
        <v>CU-248</v>
      </c>
      <c r="F11" s="1" t="str">
        <f t="shared" ca="1" si="8"/>
        <v>Ravi Mehta</v>
      </c>
      <c r="G11" s="1" t="str">
        <f t="shared" ca="1" si="9"/>
        <v>Consumer</v>
      </c>
      <c r="H11" s="1" t="str">
        <f t="shared" si="10"/>
        <v>India</v>
      </c>
      <c r="I11" s="1" t="str">
        <f t="shared" ca="1" si="11"/>
        <v>East</v>
      </c>
      <c r="J11" s="1" t="str">
        <f t="shared" ca="1" si="12"/>
        <v>Karnataka</v>
      </c>
      <c r="K11" s="1" t="str">
        <f t="shared" ca="1" si="13"/>
        <v>Mumbai</v>
      </c>
      <c r="L11" s="1" t="str">
        <f t="shared" ca="1" si="14"/>
        <v>Furniture</v>
      </c>
      <c r="M11" s="1" t="str">
        <f t="shared" ca="1" si="15"/>
        <v>Paper</v>
      </c>
      <c r="N11" s="1" t="str">
        <f t="shared" ca="1" si="16"/>
        <v>Office Table</v>
      </c>
      <c r="O11" s="1">
        <f t="shared" ca="1" si="17"/>
        <v>53077</v>
      </c>
      <c r="P11" s="1">
        <f t="shared" ca="1" si="18"/>
        <v>6</v>
      </c>
      <c r="Q11" s="19">
        <f t="shared" ca="1" si="19"/>
        <v>0.3</v>
      </c>
      <c r="R11" s="1">
        <f t="shared" ca="1" si="20"/>
        <v>-6369.24</v>
      </c>
      <c r="S11" s="1">
        <f t="shared" ca="1" si="2"/>
        <v>3</v>
      </c>
      <c r="T11" s="19">
        <f t="shared" ca="1" si="3"/>
        <v>-0.12</v>
      </c>
      <c r="U11" s="1" t="str">
        <f t="shared" ca="1" si="4"/>
        <v>High Discount</v>
      </c>
    </row>
    <row r="12" spans="1:21" ht="15.6" customHeight="1" x14ac:dyDescent="0.3">
      <c r="A12" s="1" t="str">
        <f t="shared" si="0"/>
        <v>ORD-11</v>
      </c>
      <c r="B12" s="10">
        <f t="shared" ca="1" si="5"/>
        <v>45484</v>
      </c>
      <c r="C12" s="7">
        <f t="shared" ca="1" si="1"/>
        <v>45486</v>
      </c>
      <c r="D12" s="1" t="str">
        <f t="shared" ca="1" si="6"/>
        <v>Same Day</v>
      </c>
      <c r="E12" s="1" t="str">
        <f t="shared" ca="1" si="7"/>
        <v>CU-768</v>
      </c>
      <c r="F12" s="1" t="str">
        <f t="shared" ca="1" si="8"/>
        <v>Amit Verma</v>
      </c>
      <c r="G12" s="1" t="str">
        <f t="shared" ca="1" si="9"/>
        <v>Home Office</v>
      </c>
      <c r="H12" s="1" t="str">
        <f t="shared" si="10"/>
        <v>India</v>
      </c>
      <c r="I12" s="1" t="str">
        <f t="shared" ca="1" si="11"/>
        <v>South</v>
      </c>
      <c r="J12" s="1" t="str">
        <f t="shared" ca="1" si="12"/>
        <v>Gujarat</v>
      </c>
      <c r="K12" s="1" t="str">
        <f t="shared" ca="1" si="13"/>
        <v>Delhi</v>
      </c>
      <c r="L12" s="1" t="str">
        <f t="shared" ca="1" si="14"/>
        <v>Office Supplies</v>
      </c>
      <c r="M12" s="1" t="str">
        <f t="shared" ca="1" si="15"/>
        <v>Laptop</v>
      </c>
      <c r="N12" s="1" t="str">
        <f t="shared" ca="1" si="16"/>
        <v>Samsung Galaxy</v>
      </c>
      <c r="O12" s="1">
        <f t="shared" ca="1" si="17"/>
        <v>24845</v>
      </c>
      <c r="P12" s="1">
        <f t="shared" ca="1" si="18"/>
        <v>7</v>
      </c>
      <c r="Q12" s="19">
        <f t="shared" ca="1" si="19"/>
        <v>0.2</v>
      </c>
      <c r="R12" s="1">
        <f t="shared" ca="1" si="20"/>
        <v>-496.90000000000043</v>
      </c>
      <c r="S12" s="1">
        <f t="shared" ca="1" si="2"/>
        <v>2</v>
      </c>
      <c r="T12" s="19">
        <f t="shared" ca="1" si="3"/>
        <v>-2.0000000000000018E-2</v>
      </c>
      <c r="U12" s="1" t="str">
        <f t="shared" ca="1" si="4"/>
        <v>High Discount</v>
      </c>
    </row>
    <row r="13" spans="1:21" ht="15.6" customHeight="1" x14ac:dyDescent="0.3">
      <c r="A13" s="1" t="str">
        <f t="shared" si="0"/>
        <v>ORD-12</v>
      </c>
      <c r="B13" s="10">
        <f t="shared" ca="1" si="5"/>
        <v>45553</v>
      </c>
      <c r="C13" s="7">
        <f t="shared" ca="1" si="1"/>
        <v>45557</v>
      </c>
      <c r="D13" s="1" t="str">
        <f t="shared" ca="1" si="6"/>
        <v>Same Day</v>
      </c>
      <c r="E13" s="1" t="str">
        <f t="shared" ca="1" si="7"/>
        <v>CU-728</v>
      </c>
      <c r="F13" s="1" t="str">
        <f t="shared" ca="1" si="8"/>
        <v>Pooja Yadav</v>
      </c>
      <c r="G13" s="1" t="str">
        <f t="shared" ca="1" si="9"/>
        <v>Home Office</v>
      </c>
      <c r="H13" s="1" t="str">
        <f t="shared" si="10"/>
        <v>India</v>
      </c>
      <c r="I13" s="1" t="str">
        <f t="shared" ca="1" si="11"/>
        <v>East</v>
      </c>
      <c r="J13" s="1" t="str">
        <f t="shared" ca="1" si="12"/>
        <v>Maharashtra</v>
      </c>
      <c r="K13" s="1" t="str">
        <f t="shared" ca="1" si="13"/>
        <v>Kolkata</v>
      </c>
      <c r="L13" s="1" t="str">
        <f t="shared" ca="1" si="14"/>
        <v>Office Supplies</v>
      </c>
      <c r="M13" s="1" t="str">
        <f t="shared" ca="1" si="15"/>
        <v>Table</v>
      </c>
      <c r="N13" s="1" t="str">
        <f t="shared" ca="1" si="16"/>
        <v>Wireless Mouse</v>
      </c>
      <c r="O13" s="1">
        <f t="shared" ca="1" si="17"/>
        <v>37405</v>
      </c>
      <c r="P13" s="1">
        <f t="shared" ca="1" si="18"/>
        <v>9</v>
      </c>
      <c r="Q13" s="19">
        <f t="shared" ca="1" si="19"/>
        <v>0.05</v>
      </c>
      <c r="R13" s="1">
        <f t="shared" ca="1" si="20"/>
        <v>4862.6500000000005</v>
      </c>
      <c r="S13" s="1">
        <f t="shared" ca="1" si="2"/>
        <v>4</v>
      </c>
      <c r="T13" s="19">
        <f t="shared" ca="1" si="3"/>
        <v>0.13</v>
      </c>
      <c r="U13" s="1" t="str">
        <f t="shared" ca="1" si="4"/>
        <v>Low Discount</v>
      </c>
    </row>
    <row r="14" spans="1:21" ht="15.6" customHeight="1" x14ac:dyDescent="0.3">
      <c r="A14" s="1" t="str">
        <f t="shared" si="0"/>
        <v>ORD-13</v>
      </c>
      <c r="B14" s="10">
        <f t="shared" ca="1" si="5"/>
        <v>45439</v>
      </c>
      <c r="C14" s="7">
        <f t="shared" ca="1" si="1"/>
        <v>45440</v>
      </c>
      <c r="D14" s="1" t="str">
        <f t="shared" ca="1" si="6"/>
        <v>Second Class</v>
      </c>
      <c r="E14" s="1" t="str">
        <f t="shared" ca="1" si="7"/>
        <v>CU-200</v>
      </c>
      <c r="F14" s="1" t="str">
        <f t="shared" ca="1" si="8"/>
        <v>Priya Singh</v>
      </c>
      <c r="G14" s="1" t="str">
        <f t="shared" ca="1" si="9"/>
        <v>Home Office</v>
      </c>
      <c r="H14" s="1" t="str">
        <f t="shared" si="10"/>
        <v>India</v>
      </c>
      <c r="I14" s="1" t="str">
        <f t="shared" ca="1" si="11"/>
        <v>East</v>
      </c>
      <c r="J14" s="1" t="str">
        <f t="shared" ca="1" si="12"/>
        <v>West Bengal</v>
      </c>
      <c r="K14" s="1" t="str">
        <f t="shared" ca="1" si="13"/>
        <v>Bangalore</v>
      </c>
      <c r="L14" s="1" t="str">
        <f t="shared" ca="1" si="14"/>
        <v>Furniture</v>
      </c>
      <c r="M14" s="1" t="str">
        <f t="shared" ca="1" si="15"/>
        <v>Laptop</v>
      </c>
      <c r="N14" s="1" t="str">
        <f t="shared" ca="1" si="16"/>
        <v>HP Pavilion</v>
      </c>
      <c r="O14" s="1">
        <f t="shared" ca="1" si="17"/>
        <v>9667</v>
      </c>
      <c r="P14" s="1">
        <f t="shared" ca="1" si="18"/>
        <v>7</v>
      </c>
      <c r="Q14" s="19">
        <f t="shared" ca="1" si="19"/>
        <v>0.1</v>
      </c>
      <c r="R14" s="1">
        <f t="shared" ca="1" si="20"/>
        <v>773.3599999999999</v>
      </c>
      <c r="S14" s="1">
        <f t="shared" ca="1" si="2"/>
        <v>1</v>
      </c>
      <c r="T14" s="19">
        <f t="shared" ca="1" si="3"/>
        <v>7.9999999999999988E-2</v>
      </c>
      <c r="U14" s="1" t="str">
        <f t="shared" ca="1" si="4"/>
        <v>Low Discount</v>
      </c>
    </row>
    <row r="15" spans="1:21" ht="15.6" customHeight="1" x14ac:dyDescent="0.3">
      <c r="A15" s="1" t="str">
        <f t="shared" si="0"/>
        <v>ORD-14</v>
      </c>
      <c r="B15" s="10">
        <f t="shared" ca="1" si="5"/>
        <v>45547</v>
      </c>
      <c r="C15" s="7">
        <f t="shared" ca="1" si="1"/>
        <v>45548</v>
      </c>
      <c r="D15" s="1" t="str">
        <f t="shared" ca="1" si="6"/>
        <v>Standard Class</v>
      </c>
      <c r="E15" s="1" t="str">
        <f t="shared" ca="1" si="7"/>
        <v>CU-982</v>
      </c>
      <c r="F15" s="1" t="str">
        <f t="shared" ca="1" si="8"/>
        <v>Ravi Mehta</v>
      </c>
      <c r="G15" s="1" t="str">
        <f t="shared" ca="1" si="9"/>
        <v>Corporate</v>
      </c>
      <c r="H15" s="1" t="str">
        <f t="shared" si="10"/>
        <v>India</v>
      </c>
      <c r="I15" s="1" t="str">
        <f t="shared" ca="1" si="11"/>
        <v>South</v>
      </c>
      <c r="J15" s="1" t="str">
        <f t="shared" ca="1" si="12"/>
        <v>Maharashtra</v>
      </c>
      <c r="K15" s="1" t="str">
        <f t="shared" ca="1" si="13"/>
        <v>Chennai</v>
      </c>
      <c r="L15" s="1" t="str">
        <f t="shared" ca="1" si="14"/>
        <v>Technology</v>
      </c>
      <c r="M15" s="1" t="str">
        <f t="shared" ca="1" si="15"/>
        <v>Laptop</v>
      </c>
      <c r="N15" s="1" t="str">
        <f t="shared" ca="1" si="16"/>
        <v>HP Pavilion</v>
      </c>
      <c r="O15" s="1">
        <f t="shared" ca="1" si="17"/>
        <v>1129</v>
      </c>
      <c r="P15" s="1">
        <f t="shared" ca="1" si="18"/>
        <v>9</v>
      </c>
      <c r="Q15" s="19">
        <f t="shared" ca="1" si="19"/>
        <v>0.1</v>
      </c>
      <c r="R15" s="1">
        <f t="shared" ca="1" si="20"/>
        <v>90.32</v>
      </c>
      <c r="S15" s="1">
        <f t="shared" ca="1" si="2"/>
        <v>1</v>
      </c>
      <c r="T15" s="19">
        <f t="shared" ca="1" si="3"/>
        <v>7.9999999999999988E-2</v>
      </c>
      <c r="U15" s="1" t="str">
        <f t="shared" ca="1" si="4"/>
        <v>Low Discount</v>
      </c>
    </row>
    <row r="16" spans="1:21" ht="15.6" customHeight="1" x14ac:dyDescent="0.3">
      <c r="A16" s="1" t="str">
        <f t="shared" si="0"/>
        <v>ORD-15</v>
      </c>
      <c r="B16" s="10">
        <f t="shared" ca="1" si="5"/>
        <v>45374</v>
      </c>
      <c r="C16" s="7">
        <f t="shared" ca="1" si="1"/>
        <v>45374</v>
      </c>
      <c r="D16" s="1" t="str">
        <f t="shared" ca="1" si="6"/>
        <v>Same Day</v>
      </c>
      <c r="E16" s="1" t="str">
        <f t="shared" ca="1" si="7"/>
        <v>CU-813</v>
      </c>
      <c r="F16" s="1" t="str">
        <f t="shared" ca="1" si="8"/>
        <v>Priya Singh</v>
      </c>
      <c r="G16" s="1" t="str">
        <f t="shared" ca="1" si="9"/>
        <v>Corporate</v>
      </c>
      <c r="H16" s="1" t="str">
        <f t="shared" si="10"/>
        <v>India</v>
      </c>
      <c r="I16" s="1" t="str">
        <f t="shared" ca="1" si="11"/>
        <v>East</v>
      </c>
      <c r="J16" s="1" t="str">
        <f t="shared" ca="1" si="12"/>
        <v>Tamil Nadu</v>
      </c>
      <c r="K16" s="1" t="str">
        <f t="shared" ca="1" si="13"/>
        <v>Bangalore</v>
      </c>
      <c r="L16" s="1" t="str">
        <f t="shared" ca="1" si="14"/>
        <v>Furniture</v>
      </c>
      <c r="M16" s="1" t="str">
        <f t="shared" ca="1" si="15"/>
        <v>Mobile</v>
      </c>
      <c r="N16" s="1" t="str">
        <f t="shared" ca="1" si="16"/>
        <v>Office Chair</v>
      </c>
      <c r="O16" s="1">
        <f t="shared" ca="1" si="17"/>
        <v>27615</v>
      </c>
      <c r="P16" s="1">
        <f t="shared" ca="1" si="18"/>
        <v>5</v>
      </c>
      <c r="Q16" s="19">
        <f t="shared" ca="1" si="19"/>
        <v>0.3</v>
      </c>
      <c r="R16" s="1">
        <f t="shared" ca="1" si="20"/>
        <v>-3313.7999999999997</v>
      </c>
      <c r="S16" s="1">
        <f t="shared" ca="1" si="2"/>
        <v>0</v>
      </c>
      <c r="T16" s="19">
        <f t="shared" ca="1" si="3"/>
        <v>-0.12</v>
      </c>
      <c r="U16" s="1" t="str">
        <f t="shared" ca="1" si="4"/>
        <v>High Discount</v>
      </c>
    </row>
    <row r="17" spans="1:21" ht="15.6" customHeight="1" x14ac:dyDescent="0.3">
      <c r="A17" s="1" t="str">
        <f t="shared" si="0"/>
        <v>ORD-16</v>
      </c>
      <c r="B17" s="10">
        <f t="shared" ca="1" si="5"/>
        <v>45516</v>
      </c>
      <c r="C17" s="7">
        <f t="shared" ca="1" si="1"/>
        <v>45519</v>
      </c>
      <c r="D17" s="1" t="str">
        <f t="shared" ca="1" si="6"/>
        <v>Same Day</v>
      </c>
      <c r="E17" s="1" t="str">
        <f t="shared" ca="1" si="7"/>
        <v>CU-794</v>
      </c>
      <c r="F17" s="1" t="str">
        <f t="shared" ca="1" si="8"/>
        <v>Ravi Mehta</v>
      </c>
      <c r="G17" s="1" t="str">
        <f t="shared" ca="1" si="9"/>
        <v>Corporate</v>
      </c>
      <c r="H17" s="1" t="str">
        <f t="shared" si="10"/>
        <v>India</v>
      </c>
      <c r="I17" s="1" t="str">
        <f t="shared" ca="1" si="11"/>
        <v>North</v>
      </c>
      <c r="J17" s="1" t="str">
        <f t="shared" ca="1" si="12"/>
        <v>West Bengal</v>
      </c>
      <c r="K17" s="1" t="str">
        <f t="shared" ca="1" si="13"/>
        <v>Kolkata</v>
      </c>
      <c r="L17" s="1" t="str">
        <f t="shared" ca="1" si="14"/>
        <v>Office Supplies</v>
      </c>
      <c r="M17" s="1" t="str">
        <f t="shared" ca="1" si="15"/>
        <v>Laptop</v>
      </c>
      <c r="N17" s="1" t="str">
        <f t="shared" ca="1" si="16"/>
        <v>A4 Paper</v>
      </c>
      <c r="O17" s="1">
        <f t="shared" ca="1" si="17"/>
        <v>26024</v>
      </c>
      <c r="P17" s="1">
        <f t="shared" ca="1" si="18"/>
        <v>10</v>
      </c>
      <c r="Q17" s="19">
        <f t="shared" ca="1" si="19"/>
        <v>0.05</v>
      </c>
      <c r="R17" s="1">
        <f t="shared" ca="1" si="20"/>
        <v>3383.12</v>
      </c>
      <c r="S17" s="1">
        <f t="shared" ca="1" si="2"/>
        <v>3</v>
      </c>
      <c r="T17" s="19">
        <f t="shared" ca="1" si="3"/>
        <v>0.13</v>
      </c>
      <c r="U17" s="1" t="str">
        <f t="shared" ca="1" si="4"/>
        <v>Low Discount</v>
      </c>
    </row>
    <row r="18" spans="1:21" ht="15.6" customHeight="1" x14ac:dyDescent="0.3">
      <c r="A18" s="1" t="str">
        <f t="shared" si="0"/>
        <v>ORD-17</v>
      </c>
      <c r="B18" s="10">
        <f t="shared" ca="1" si="5"/>
        <v>45395</v>
      </c>
      <c r="C18" s="7">
        <f t="shared" ca="1" si="1"/>
        <v>45400</v>
      </c>
      <c r="D18" s="1" t="str">
        <f t="shared" ca="1" si="6"/>
        <v>Second Class</v>
      </c>
      <c r="E18" s="1" t="str">
        <f t="shared" ca="1" si="7"/>
        <v>CU-131</v>
      </c>
      <c r="F18" s="1" t="str">
        <f t="shared" ca="1" si="8"/>
        <v>Pooja Yadav</v>
      </c>
      <c r="G18" s="1" t="str">
        <f t="shared" ca="1" si="9"/>
        <v>Home Office</v>
      </c>
      <c r="H18" s="1" t="str">
        <f t="shared" si="10"/>
        <v>India</v>
      </c>
      <c r="I18" s="1" t="str">
        <f t="shared" ca="1" si="11"/>
        <v>South</v>
      </c>
      <c r="J18" s="1" t="str">
        <f t="shared" ca="1" si="12"/>
        <v>Gujarat</v>
      </c>
      <c r="K18" s="1" t="str">
        <f t="shared" ca="1" si="13"/>
        <v>Bangalore</v>
      </c>
      <c r="L18" s="1" t="str">
        <f t="shared" ca="1" si="14"/>
        <v>Office Supplies</v>
      </c>
      <c r="M18" s="1" t="str">
        <f t="shared" ca="1" si="15"/>
        <v>Mobile</v>
      </c>
      <c r="N18" s="1" t="str">
        <f t="shared" ca="1" si="16"/>
        <v>HP Pavilion</v>
      </c>
      <c r="O18" s="1">
        <f t="shared" ca="1" si="17"/>
        <v>9421</v>
      </c>
      <c r="P18" s="1">
        <f t="shared" ca="1" si="18"/>
        <v>4</v>
      </c>
      <c r="Q18" s="19">
        <f t="shared" ca="1" si="19"/>
        <v>0</v>
      </c>
      <c r="R18" s="1">
        <f t="shared" ca="1" si="20"/>
        <v>1695.78</v>
      </c>
      <c r="S18" s="1">
        <f t="shared" ca="1" si="2"/>
        <v>5</v>
      </c>
      <c r="T18" s="19">
        <f t="shared" ca="1" si="3"/>
        <v>0.18</v>
      </c>
      <c r="U18" s="1" t="str">
        <f t="shared" ca="1" si="4"/>
        <v>Low Discount</v>
      </c>
    </row>
    <row r="19" spans="1:21" ht="15.6" customHeight="1" x14ac:dyDescent="0.3">
      <c r="A19" s="1" t="str">
        <f t="shared" si="0"/>
        <v>ORD-18</v>
      </c>
      <c r="B19" s="10">
        <f t="shared" ca="1" si="5"/>
        <v>45655</v>
      </c>
      <c r="C19" s="7">
        <f t="shared" ca="1" si="1"/>
        <v>45659</v>
      </c>
      <c r="D19" s="1" t="str">
        <f t="shared" ca="1" si="6"/>
        <v>Same Day</v>
      </c>
      <c r="E19" s="1" t="str">
        <f t="shared" ca="1" si="7"/>
        <v>CU-128</v>
      </c>
      <c r="F19" s="1" t="str">
        <f t="shared" ca="1" si="8"/>
        <v>Sunil Kumar</v>
      </c>
      <c r="G19" s="1" t="str">
        <f t="shared" ca="1" si="9"/>
        <v>Consumer</v>
      </c>
      <c r="H19" s="1" t="str">
        <f t="shared" si="10"/>
        <v>India</v>
      </c>
      <c r="I19" s="1" t="str">
        <f t="shared" ca="1" si="11"/>
        <v>East</v>
      </c>
      <c r="J19" s="1" t="str">
        <f t="shared" ca="1" si="12"/>
        <v>West Bengal</v>
      </c>
      <c r="K19" s="1" t="str">
        <f t="shared" ca="1" si="13"/>
        <v>Bangalore</v>
      </c>
      <c r="L19" s="1" t="str">
        <f t="shared" ca="1" si="14"/>
        <v>Furniture</v>
      </c>
      <c r="M19" s="1" t="str">
        <f t="shared" ca="1" si="15"/>
        <v>Laptop</v>
      </c>
      <c r="N19" s="1" t="str">
        <f t="shared" ca="1" si="16"/>
        <v>Samsung Galaxy</v>
      </c>
      <c r="O19" s="1">
        <f t="shared" ca="1" si="17"/>
        <v>29701</v>
      </c>
      <c r="P19" s="1">
        <f t="shared" ca="1" si="18"/>
        <v>3</v>
      </c>
      <c r="Q19" s="19">
        <f t="shared" ca="1" si="19"/>
        <v>0</v>
      </c>
      <c r="R19" s="1">
        <f t="shared" ca="1" si="20"/>
        <v>5346.1799999999994</v>
      </c>
      <c r="S19" s="1">
        <f t="shared" ca="1" si="2"/>
        <v>4</v>
      </c>
      <c r="T19" s="19">
        <f t="shared" ca="1" si="3"/>
        <v>0.17999999999999997</v>
      </c>
      <c r="U19" s="1" t="str">
        <f t="shared" ca="1" si="4"/>
        <v>Low Discount</v>
      </c>
    </row>
    <row r="20" spans="1:21" ht="15.6" customHeight="1" x14ac:dyDescent="0.3">
      <c r="A20" s="1" t="str">
        <f t="shared" si="0"/>
        <v>ORD-19</v>
      </c>
      <c r="B20" s="10">
        <f t="shared" ca="1" si="5"/>
        <v>45323</v>
      </c>
      <c r="C20" s="7">
        <f t="shared" ca="1" si="1"/>
        <v>45328</v>
      </c>
      <c r="D20" s="1" t="str">
        <f t="shared" ca="1" si="6"/>
        <v>Standard Class</v>
      </c>
      <c r="E20" s="1" t="str">
        <f t="shared" ca="1" si="7"/>
        <v>CU-749</v>
      </c>
      <c r="F20" s="1" t="str">
        <f t="shared" ca="1" si="8"/>
        <v>Pooja Yadav</v>
      </c>
      <c r="G20" s="1" t="str">
        <f t="shared" ca="1" si="9"/>
        <v>Consumer</v>
      </c>
      <c r="H20" s="1" t="str">
        <f t="shared" si="10"/>
        <v>India</v>
      </c>
      <c r="I20" s="1" t="str">
        <f t="shared" ca="1" si="11"/>
        <v>North</v>
      </c>
      <c r="J20" s="1" t="str">
        <f t="shared" ca="1" si="12"/>
        <v>West Bengal</v>
      </c>
      <c r="K20" s="1" t="str">
        <f t="shared" ca="1" si="13"/>
        <v>Ahmedabad</v>
      </c>
      <c r="L20" s="1" t="str">
        <f t="shared" ca="1" si="14"/>
        <v>Furniture</v>
      </c>
      <c r="M20" s="1" t="str">
        <f t="shared" ca="1" si="15"/>
        <v>Table</v>
      </c>
      <c r="N20" s="1" t="str">
        <f t="shared" ca="1" si="16"/>
        <v>Office Chair</v>
      </c>
      <c r="O20" s="1">
        <f t="shared" ca="1" si="17"/>
        <v>47300</v>
      </c>
      <c r="P20" s="1">
        <f t="shared" ca="1" si="18"/>
        <v>9</v>
      </c>
      <c r="Q20" s="19">
        <f t="shared" ca="1" si="19"/>
        <v>0.1</v>
      </c>
      <c r="R20" s="1">
        <f t="shared" ca="1" si="20"/>
        <v>3783.9999999999995</v>
      </c>
      <c r="S20" s="1">
        <f t="shared" ca="1" si="2"/>
        <v>5</v>
      </c>
      <c r="T20" s="19">
        <f t="shared" ca="1" si="3"/>
        <v>7.9999999999999988E-2</v>
      </c>
      <c r="U20" s="1" t="str">
        <f t="shared" ca="1" si="4"/>
        <v>Low Discount</v>
      </c>
    </row>
    <row r="21" spans="1:21" ht="15.6" customHeight="1" x14ac:dyDescent="0.3">
      <c r="A21" s="1" t="str">
        <f t="shared" si="0"/>
        <v>ORD-20</v>
      </c>
      <c r="B21" s="10">
        <f t="shared" ca="1" si="5"/>
        <v>45492</v>
      </c>
      <c r="C21" s="7">
        <f t="shared" ca="1" si="1"/>
        <v>45494</v>
      </c>
      <c r="D21" s="1" t="str">
        <f t="shared" ca="1" si="6"/>
        <v>Standard Class</v>
      </c>
      <c r="E21" s="1" t="str">
        <f t="shared" ca="1" si="7"/>
        <v>CU-110</v>
      </c>
      <c r="F21" s="1" t="str">
        <f t="shared" ca="1" si="8"/>
        <v>Arjun Malhotra</v>
      </c>
      <c r="G21" s="1" t="str">
        <f t="shared" ca="1" si="9"/>
        <v>Consumer</v>
      </c>
      <c r="H21" s="1" t="str">
        <f t="shared" si="10"/>
        <v>India</v>
      </c>
      <c r="I21" s="1" t="str">
        <f t="shared" ca="1" si="11"/>
        <v>North</v>
      </c>
      <c r="J21" s="1" t="str">
        <f t="shared" ca="1" si="12"/>
        <v>Tamil Nadu</v>
      </c>
      <c r="K21" s="1" t="str">
        <f t="shared" ca="1" si="13"/>
        <v>Bangalore</v>
      </c>
      <c r="L21" s="1" t="str">
        <f t="shared" ca="1" si="14"/>
        <v>Furniture</v>
      </c>
      <c r="M21" s="1" t="str">
        <f t="shared" ca="1" si="15"/>
        <v>Paper</v>
      </c>
      <c r="N21" s="1" t="str">
        <f t="shared" ca="1" si="16"/>
        <v>Office Chair</v>
      </c>
      <c r="O21" s="1">
        <f t="shared" ca="1" si="17"/>
        <v>9382</v>
      </c>
      <c r="P21" s="1">
        <f t="shared" ca="1" si="18"/>
        <v>8</v>
      </c>
      <c r="Q21" s="19">
        <f t="shared" ca="1" si="19"/>
        <v>0</v>
      </c>
      <c r="R21" s="1">
        <f t="shared" ca="1" si="20"/>
        <v>1688.76</v>
      </c>
      <c r="S21" s="1">
        <f t="shared" ca="1" si="2"/>
        <v>2</v>
      </c>
      <c r="T21" s="19">
        <f t="shared" ca="1" si="3"/>
        <v>0.18</v>
      </c>
      <c r="U21" s="1" t="str">
        <f t="shared" ca="1" si="4"/>
        <v>Low Discount</v>
      </c>
    </row>
    <row r="22" spans="1:21" ht="15.6" customHeight="1" x14ac:dyDescent="0.3">
      <c r="A22" s="1" t="str">
        <f t="shared" si="0"/>
        <v>ORD-21</v>
      </c>
      <c r="B22" s="10">
        <f t="shared" ca="1" si="5"/>
        <v>45401</v>
      </c>
      <c r="C22" s="7">
        <f t="shared" ca="1" si="1"/>
        <v>45401</v>
      </c>
      <c r="D22" s="1" t="str">
        <f t="shared" ca="1" si="6"/>
        <v>Same Day</v>
      </c>
      <c r="E22" s="1" t="str">
        <f t="shared" ca="1" si="7"/>
        <v>CU-840</v>
      </c>
      <c r="F22" s="1" t="str">
        <f t="shared" ca="1" si="8"/>
        <v>Pooja Yadav</v>
      </c>
      <c r="G22" s="1" t="str">
        <f t="shared" ca="1" si="9"/>
        <v>Consumer</v>
      </c>
      <c r="H22" s="1" t="str">
        <f t="shared" si="10"/>
        <v>India</v>
      </c>
      <c r="I22" s="1" t="str">
        <f t="shared" ca="1" si="11"/>
        <v>South</v>
      </c>
      <c r="J22" s="1" t="str">
        <f t="shared" ca="1" si="12"/>
        <v>Karnataka</v>
      </c>
      <c r="K22" s="1" t="str">
        <f t="shared" ca="1" si="13"/>
        <v>Ahmedabad</v>
      </c>
      <c r="L22" s="1" t="str">
        <f t="shared" ca="1" si="14"/>
        <v>Office Supplies</v>
      </c>
      <c r="M22" s="1" t="str">
        <f t="shared" ca="1" si="15"/>
        <v>Paper</v>
      </c>
      <c r="N22" s="1" t="str">
        <f t="shared" ca="1" si="16"/>
        <v>Wireless Mouse</v>
      </c>
      <c r="O22" s="1">
        <f t="shared" ca="1" si="17"/>
        <v>18154</v>
      </c>
      <c r="P22" s="1">
        <f t="shared" ca="1" si="18"/>
        <v>9</v>
      </c>
      <c r="Q22" s="19">
        <f t="shared" ca="1" si="19"/>
        <v>0.05</v>
      </c>
      <c r="R22" s="1">
        <f t="shared" ca="1" si="20"/>
        <v>2360.02</v>
      </c>
      <c r="S22" s="1">
        <f t="shared" ca="1" si="2"/>
        <v>0</v>
      </c>
      <c r="T22" s="19">
        <f t="shared" ca="1" si="3"/>
        <v>0.13</v>
      </c>
      <c r="U22" s="1" t="str">
        <f t="shared" ca="1" si="4"/>
        <v>Low Discount</v>
      </c>
    </row>
    <row r="23" spans="1:21" ht="15.6" customHeight="1" x14ac:dyDescent="0.3">
      <c r="A23" s="1" t="str">
        <f t="shared" si="0"/>
        <v>ORD-22</v>
      </c>
      <c r="B23" s="10">
        <f t="shared" ca="1" si="5"/>
        <v>45403</v>
      </c>
      <c r="C23" s="7">
        <f t="shared" ca="1" si="1"/>
        <v>45408</v>
      </c>
      <c r="D23" s="1" t="str">
        <f t="shared" ca="1" si="6"/>
        <v>Second Class</v>
      </c>
      <c r="E23" s="1" t="str">
        <f t="shared" ca="1" si="7"/>
        <v>CU-457</v>
      </c>
      <c r="F23" s="1" t="str">
        <f t="shared" ca="1" si="8"/>
        <v>Sunil Kumar</v>
      </c>
      <c r="G23" s="1" t="str">
        <f t="shared" ca="1" si="9"/>
        <v>Home Office</v>
      </c>
      <c r="H23" s="1" t="str">
        <f t="shared" si="10"/>
        <v>India</v>
      </c>
      <c r="I23" s="1" t="str">
        <f t="shared" ca="1" si="11"/>
        <v>South</v>
      </c>
      <c r="J23" s="1" t="str">
        <f t="shared" ca="1" si="12"/>
        <v>Gujarat</v>
      </c>
      <c r="K23" s="1" t="str">
        <f t="shared" ca="1" si="13"/>
        <v>Mumbai</v>
      </c>
      <c r="L23" s="1" t="str">
        <f t="shared" ca="1" si="14"/>
        <v>Technology</v>
      </c>
      <c r="M23" s="1" t="str">
        <f t="shared" ca="1" si="15"/>
        <v>Paper</v>
      </c>
      <c r="N23" s="1" t="str">
        <f t="shared" ca="1" si="16"/>
        <v>HP Pavilion</v>
      </c>
      <c r="O23" s="1">
        <f t="shared" ca="1" si="17"/>
        <v>2917</v>
      </c>
      <c r="P23" s="1">
        <f t="shared" ca="1" si="18"/>
        <v>9</v>
      </c>
      <c r="Q23" s="19">
        <f t="shared" ca="1" si="19"/>
        <v>0</v>
      </c>
      <c r="R23" s="1">
        <f t="shared" ca="1" si="20"/>
        <v>525.05999999999995</v>
      </c>
      <c r="S23" s="1">
        <f t="shared" ca="1" si="2"/>
        <v>5</v>
      </c>
      <c r="T23" s="19">
        <f t="shared" ca="1" si="3"/>
        <v>0.18</v>
      </c>
      <c r="U23" s="1" t="str">
        <f t="shared" ca="1" si="4"/>
        <v>Low Discount</v>
      </c>
    </row>
    <row r="24" spans="1:21" ht="15.6" customHeight="1" x14ac:dyDescent="0.3">
      <c r="A24" s="1" t="str">
        <f t="shared" si="0"/>
        <v>ORD-23</v>
      </c>
      <c r="B24" s="10">
        <f t="shared" ca="1" si="5"/>
        <v>45317</v>
      </c>
      <c r="C24" s="7">
        <f t="shared" ca="1" si="1"/>
        <v>45317</v>
      </c>
      <c r="D24" s="1" t="str">
        <f t="shared" ca="1" si="6"/>
        <v>Same Day</v>
      </c>
      <c r="E24" s="1" t="str">
        <f t="shared" ca="1" si="7"/>
        <v>CU-917</v>
      </c>
      <c r="F24" s="1" t="str">
        <f t="shared" ca="1" si="8"/>
        <v>Arjun Malhotra</v>
      </c>
      <c r="G24" s="1" t="str">
        <f t="shared" ca="1" si="9"/>
        <v>Home Office</v>
      </c>
      <c r="H24" s="1" t="str">
        <f t="shared" si="10"/>
        <v>India</v>
      </c>
      <c r="I24" s="1" t="str">
        <f t="shared" ca="1" si="11"/>
        <v>East</v>
      </c>
      <c r="J24" s="1" t="str">
        <f t="shared" ca="1" si="12"/>
        <v>Gujarat</v>
      </c>
      <c r="K24" s="1" t="str">
        <f t="shared" ca="1" si="13"/>
        <v>Bangalore</v>
      </c>
      <c r="L24" s="1" t="str">
        <f t="shared" ca="1" si="14"/>
        <v>Technology</v>
      </c>
      <c r="M24" s="1" t="str">
        <f t="shared" ca="1" si="15"/>
        <v>Mobile</v>
      </c>
      <c r="N24" s="1" t="str">
        <f t="shared" ca="1" si="16"/>
        <v>Wireless Mouse</v>
      </c>
      <c r="O24" s="1">
        <f t="shared" ca="1" si="17"/>
        <v>8682</v>
      </c>
      <c r="P24" s="1">
        <f t="shared" ca="1" si="18"/>
        <v>3</v>
      </c>
      <c r="Q24" s="19">
        <f t="shared" ca="1" si="19"/>
        <v>0.05</v>
      </c>
      <c r="R24" s="1">
        <f t="shared" ca="1" si="20"/>
        <v>1128.6600000000001</v>
      </c>
      <c r="S24" s="1">
        <f t="shared" ca="1" si="2"/>
        <v>0</v>
      </c>
      <c r="T24" s="19">
        <f t="shared" ca="1" si="3"/>
        <v>0.13</v>
      </c>
      <c r="U24" s="1" t="str">
        <f t="shared" ca="1" si="4"/>
        <v>Low Discount</v>
      </c>
    </row>
    <row r="25" spans="1:21" ht="15.6" customHeight="1" x14ac:dyDescent="0.3">
      <c r="A25" s="1" t="str">
        <f t="shared" si="0"/>
        <v>ORD-24</v>
      </c>
      <c r="B25" s="10">
        <f t="shared" ca="1" si="5"/>
        <v>45303</v>
      </c>
      <c r="C25" s="7">
        <f t="shared" ca="1" si="1"/>
        <v>45307</v>
      </c>
      <c r="D25" s="1" t="str">
        <f t="shared" ca="1" si="6"/>
        <v>Same Day</v>
      </c>
      <c r="E25" s="1" t="str">
        <f t="shared" ca="1" si="7"/>
        <v>CU-381</v>
      </c>
      <c r="F25" s="1" t="str">
        <f t="shared" ca="1" si="8"/>
        <v>Sunil Kumar</v>
      </c>
      <c r="G25" s="1" t="str">
        <f t="shared" ca="1" si="9"/>
        <v>Home Office</v>
      </c>
      <c r="H25" s="1" t="str">
        <f t="shared" si="10"/>
        <v>India</v>
      </c>
      <c r="I25" s="1" t="str">
        <f t="shared" ca="1" si="11"/>
        <v>East</v>
      </c>
      <c r="J25" s="1" t="str">
        <f t="shared" ca="1" si="12"/>
        <v>Gujarat</v>
      </c>
      <c r="K25" s="1" t="str">
        <f t="shared" ca="1" si="13"/>
        <v>Chennai</v>
      </c>
      <c r="L25" s="1" t="str">
        <f t="shared" ca="1" si="14"/>
        <v>Office Supplies</v>
      </c>
      <c r="M25" s="1" t="str">
        <f t="shared" ca="1" si="15"/>
        <v>Laptop</v>
      </c>
      <c r="N25" s="1" t="str">
        <f t="shared" ca="1" si="16"/>
        <v>Office Table</v>
      </c>
      <c r="O25" s="1">
        <f t="shared" ca="1" si="17"/>
        <v>57520</v>
      </c>
      <c r="P25" s="1">
        <f t="shared" ca="1" si="18"/>
        <v>1</v>
      </c>
      <c r="Q25" s="19">
        <f t="shared" ca="1" si="19"/>
        <v>0</v>
      </c>
      <c r="R25" s="1">
        <f t="shared" ca="1" si="20"/>
        <v>10353.6</v>
      </c>
      <c r="S25" s="1">
        <f t="shared" ca="1" si="2"/>
        <v>4</v>
      </c>
      <c r="T25" s="19">
        <f t="shared" ca="1" si="3"/>
        <v>0.18</v>
      </c>
      <c r="U25" s="1" t="str">
        <f t="shared" ca="1" si="4"/>
        <v>Low Discount</v>
      </c>
    </row>
    <row r="26" spans="1:21" ht="15.6" customHeight="1" x14ac:dyDescent="0.3">
      <c r="A26" s="1" t="str">
        <f t="shared" si="0"/>
        <v>ORD-25</v>
      </c>
      <c r="B26" s="10">
        <f t="shared" ca="1" si="5"/>
        <v>45463</v>
      </c>
      <c r="C26" s="7">
        <f t="shared" ca="1" si="1"/>
        <v>45467</v>
      </c>
      <c r="D26" s="1" t="str">
        <f t="shared" ca="1" si="6"/>
        <v>Same Day</v>
      </c>
      <c r="E26" s="1" t="str">
        <f t="shared" ca="1" si="7"/>
        <v>CU-806</v>
      </c>
      <c r="F26" s="1" t="str">
        <f t="shared" ca="1" si="8"/>
        <v>Priya Singh</v>
      </c>
      <c r="G26" s="1" t="str">
        <f t="shared" ca="1" si="9"/>
        <v>Corporate</v>
      </c>
      <c r="H26" s="1" t="str">
        <f t="shared" si="10"/>
        <v>India</v>
      </c>
      <c r="I26" s="1" t="str">
        <f t="shared" ca="1" si="11"/>
        <v>North</v>
      </c>
      <c r="J26" s="1" t="str">
        <f t="shared" ca="1" si="12"/>
        <v>Delhi</v>
      </c>
      <c r="K26" s="1" t="str">
        <f t="shared" ca="1" si="13"/>
        <v>Delhi</v>
      </c>
      <c r="L26" s="1" t="str">
        <f t="shared" ca="1" si="14"/>
        <v>Furniture</v>
      </c>
      <c r="M26" s="1" t="str">
        <f t="shared" ca="1" si="15"/>
        <v>Chair</v>
      </c>
      <c r="N26" s="1" t="str">
        <f t="shared" ca="1" si="16"/>
        <v>Office Table</v>
      </c>
      <c r="O26" s="1">
        <f t="shared" ca="1" si="17"/>
        <v>30001</v>
      </c>
      <c r="P26" s="1">
        <f t="shared" ca="1" si="18"/>
        <v>8</v>
      </c>
      <c r="Q26" s="19">
        <f t="shared" ca="1" si="19"/>
        <v>0.05</v>
      </c>
      <c r="R26" s="1">
        <f t="shared" ca="1" si="20"/>
        <v>3900.13</v>
      </c>
      <c r="S26" s="1">
        <f t="shared" ca="1" si="2"/>
        <v>4</v>
      </c>
      <c r="T26" s="19">
        <f t="shared" ca="1" si="3"/>
        <v>0.13</v>
      </c>
      <c r="U26" s="1" t="str">
        <f t="shared" ca="1" si="4"/>
        <v>Low Discount</v>
      </c>
    </row>
    <row r="27" spans="1:21" ht="15.6" customHeight="1" x14ac:dyDescent="0.3">
      <c r="A27" s="1" t="str">
        <f t="shared" si="0"/>
        <v>ORD-26</v>
      </c>
      <c r="B27" s="10">
        <f t="shared" ca="1" si="5"/>
        <v>45568</v>
      </c>
      <c r="C27" s="7">
        <f t="shared" ca="1" si="1"/>
        <v>45570</v>
      </c>
      <c r="D27" s="1" t="str">
        <f t="shared" ca="1" si="6"/>
        <v>Second Class</v>
      </c>
      <c r="E27" s="1" t="str">
        <f t="shared" ca="1" si="7"/>
        <v>CU-673</v>
      </c>
      <c r="F27" s="1" t="str">
        <f t="shared" ca="1" si="8"/>
        <v>Priya Singh</v>
      </c>
      <c r="G27" s="1" t="str">
        <f t="shared" ca="1" si="9"/>
        <v>Consumer</v>
      </c>
      <c r="H27" s="1" t="str">
        <f t="shared" si="10"/>
        <v>India</v>
      </c>
      <c r="I27" s="1" t="str">
        <f t="shared" ca="1" si="11"/>
        <v>South</v>
      </c>
      <c r="J27" s="1" t="str">
        <f t="shared" ca="1" si="12"/>
        <v>West Bengal</v>
      </c>
      <c r="K27" s="1" t="str">
        <f t="shared" ca="1" si="13"/>
        <v>Mumbai</v>
      </c>
      <c r="L27" s="1" t="str">
        <f t="shared" ca="1" si="14"/>
        <v>Technology</v>
      </c>
      <c r="M27" s="1" t="str">
        <f t="shared" ca="1" si="15"/>
        <v>Laptop</v>
      </c>
      <c r="N27" s="1" t="str">
        <f t="shared" ca="1" si="16"/>
        <v>Office Table</v>
      </c>
      <c r="O27" s="1">
        <f t="shared" ca="1" si="17"/>
        <v>42542</v>
      </c>
      <c r="P27" s="1">
        <f t="shared" ca="1" si="18"/>
        <v>4</v>
      </c>
      <c r="Q27" s="19">
        <f t="shared" ca="1" si="19"/>
        <v>0.2</v>
      </c>
      <c r="R27" s="1">
        <f t="shared" ca="1" si="20"/>
        <v>-850.84000000000071</v>
      </c>
      <c r="S27" s="1">
        <f t="shared" ca="1" si="2"/>
        <v>2</v>
      </c>
      <c r="T27" s="19">
        <f t="shared" ca="1" si="3"/>
        <v>-2.0000000000000018E-2</v>
      </c>
      <c r="U27" s="1" t="str">
        <f t="shared" ca="1" si="4"/>
        <v>High Discount</v>
      </c>
    </row>
    <row r="28" spans="1:21" ht="15.6" customHeight="1" x14ac:dyDescent="0.3">
      <c r="A28" s="1" t="str">
        <f t="shared" si="0"/>
        <v>ORD-27</v>
      </c>
      <c r="B28" s="10">
        <f t="shared" ca="1" si="5"/>
        <v>45488</v>
      </c>
      <c r="C28" s="7">
        <f t="shared" ca="1" si="1"/>
        <v>45491</v>
      </c>
      <c r="D28" s="1" t="str">
        <f t="shared" ca="1" si="6"/>
        <v>Second Class</v>
      </c>
      <c r="E28" s="1" t="str">
        <f t="shared" ca="1" si="7"/>
        <v>CU-101</v>
      </c>
      <c r="F28" s="1" t="str">
        <f t="shared" ca="1" si="8"/>
        <v>Pooja Yadav</v>
      </c>
      <c r="G28" s="1" t="str">
        <f t="shared" ca="1" si="9"/>
        <v>Home Office</v>
      </c>
      <c r="H28" s="1" t="str">
        <f t="shared" si="10"/>
        <v>India</v>
      </c>
      <c r="I28" s="1" t="str">
        <f t="shared" ca="1" si="11"/>
        <v>North</v>
      </c>
      <c r="J28" s="1" t="str">
        <f t="shared" ca="1" si="12"/>
        <v>Gujarat</v>
      </c>
      <c r="K28" s="1" t="str">
        <f t="shared" ca="1" si="13"/>
        <v>Chennai</v>
      </c>
      <c r="L28" s="1" t="str">
        <f t="shared" ca="1" si="14"/>
        <v>Office Supplies</v>
      </c>
      <c r="M28" s="1" t="str">
        <f t="shared" ca="1" si="15"/>
        <v>Chair</v>
      </c>
      <c r="N28" s="1" t="str">
        <f t="shared" ca="1" si="16"/>
        <v>Samsung Galaxy</v>
      </c>
      <c r="O28" s="1">
        <f t="shared" ca="1" si="17"/>
        <v>30001</v>
      </c>
      <c r="P28" s="1">
        <f t="shared" ca="1" si="18"/>
        <v>6</v>
      </c>
      <c r="Q28" s="19">
        <f t="shared" ca="1" si="19"/>
        <v>0</v>
      </c>
      <c r="R28" s="1">
        <f t="shared" ca="1" si="20"/>
        <v>5400.1799999999994</v>
      </c>
      <c r="S28" s="1">
        <f t="shared" ca="1" si="2"/>
        <v>3</v>
      </c>
      <c r="T28" s="19">
        <f t="shared" ca="1" si="3"/>
        <v>0.17999999999999997</v>
      </c>
      <c r="U28" s="1" t="str">
        <f t="shared" ca="1" si="4"/>
        <v>Low Discount</v>
      </c>
    </row>
    <row r="29" spans="1:21" ht="15.6" customHeight="1" x14ac:dyDescent="0.3">
      <c r="A29" s="1" t="str">
        <f t="shared" si="0"/>
        <v>ORD-28</v>
      </c>
      <c r="B29" s="10">
        <f t="shared" ca="1" si="5"/>
        <v>45482</v>
      </c>
      <c r="C29" s="7">
        <f t="shared" ca="1" si="1"/>
        <v>45484</v>
      </c>
      <c r="D29" s="1" t="str">
        <f t="shared" ca="1" si="6"/>
        <v>Same Day</v>
      </c>
      <c r="E29" s="1" t="str">
        <f t="shared" ca="1" si="7"/>
        <v>CU-702</v>
      </c>
      <c r="F29" s="1" t="str">
        <f t="shared" ca="1" si="8"/>
        <v>Amit Verma</v>
      </c>
      <c r="G29" s="1" t="str">
        <f t="shared" ca="1" si="9"/>
        <v>Home Office</v>
      </c>
      <c r="H29" s="1" t="str">
        <f t="shared" si="10"/>
        <v>India</v>
      </c>
      <c r="I29" s="1" t="str">
        <f t="shared" ca="1" si="11"/>
        <v>North</v>
      </c>
      <c r="J29" s="1" t="str">
        <f t="shared" ca="1" si="12"/>
        <v>West Bengal</v>
      </c>
      <c r="K29" s="1" t="str">
        <f t="shared" ca="1" si="13"/>
        <v>Chennai</v>
      </c>
      <c r="L29" s="1" t="str">
        <f t="shared" ca="1" si="14"/>
        <v>Furniture</v>
      </c>
      <c r="M29" s="1" t="str">
        <f t="shared" ca="1" si="15"/>
        <v>Mobile</v>
      </c>
      <c r="N29" s="1" t="str">
        <f t="shared" ca="1" si="16"/>
        <v>Office Table</v>
      </c>
      <c r="O29" s="1">
        <f t="shared" ca="1" si="17"/>
        <v>58115</v>
      </c>
      <c r="P29" s="1">
        <f t="shared" ca="1" si="18"/>
        <v>10</v>
      </c>
      <c r="Q29" s="19">
        <f t="shared" ca="1" si="19"/>
        <v>0.05</v>
      </c>
      <c r="R29" s="1">
        <f t="shared" ca="1" si="20"/>
        <v>7554.95</v>
      </c>
      <c r="S29" s="1">
        <f t="shared" ca="1" si="2"/>
        <v>2</v>
      </c>
      <c r="T29" s="19">
        <f t="shared" ca="1" si="3"/>
        <v>0.13</v>
      </c>
      <c r="U29" s="1" t="str">
        <f t="shared" ca="1" si="4"/>
        <v>Low Discount</v>
      </c>
    </row>
    <row r="30" spans="1:21" ht="15.6" customHeight="1" x14ac:dyDescent="0.3">
      <c r="A30" s="1" t="str">
        <f t="shared" si="0"/>
        <v>ORD-29</v>
      </c>
      <c r="B30" s="10">
        <f t="shared" ca="1" si="5"/>
        <v>45572</v>
      </c>
      <c r="C30" s="7">
        <f t="shared" ca="1" si="1"/>
        <v>45577</v>
      </c>
      <c r="D30" s="1" t="str">
        <f t="shared" ca="1" si="6"/>
        <v>Same Day</v>
      </c>
      <c r="E30" s="1" t="str">
        <f t="shared" ca="1" si="7"/>
        <v>CU-658</v>
      </c>
      <c r="F30" s="1" t="str">
        <f t="shared" ca="1" si="8"/>
        <v>Neha Gupta</v>
      </c>
      <c r="G30" s="1" t="str">
        <f t="shared" ca="1" si="9"/>
        <v>Consumer</v>
      </c>
      <c r="H30" s="1" t="str">
        <f t="shared" si="10"/>
        <v>India</v>
      </c>
      <c r="I30" s="1" t="str">
        <f t="shared" ca="1" si="11"/>
        <v>North</v>
      </c>
      <c r="J30" s="1" t="str">
        <f t="shared" ca="1" si="12"/>
        <v>Tamil Nadu</v>
      </c>
      <c r="K30" s="1" t="str">
        <f t="shared" ca="1" si="13"/>
        <v>Chennai</v>
      </c>
      <c r="L30" s="1" t="str">
        <f t="shared" ca="1" si="14"/>
        <v>Furniture</v>
      </c>
      <c r="M30" s="1" t="str">
        <f t="shared" ca="1" si="15"/>
        <v>Table</v>
      </c>
      <c r="N30" s="1" t="str">
        <f t="shared" ca="1" si="16"/>
        <v>HP Pavilion</v>
      </c>
      <c r="O30" s="1">
        <f t="shared" ca="1" si="17"/>
        <v>47689</v>
      </c>
      <c r="P30" s="1">
        <f t="shared" ca="1" si="18"/>
        <v>8</v>
      </c>
      <c r="Q30" s="19">
        <f t="shared" ca="1" si="19"/>
        <v>0</v>
      </c>
      <c r="R30" s="1">
        <f t="shared" ca="1" si="20"/>
        <v>8584.02</v>
      </c>
      <c r="S30" s="1">
        <f t="shared" ca="1" si="2"/>
        <v>5</v>
      </c>
      <c r="T30" s="19">
        <f t="shared" ca="1" si="3"/>
        <v>0.18000000000000002</v>
      </c>
      <c r="U30" s="1" t="str">
        <f t="shared" ca="1" si="4"/>
        <v>Low Discount</v>
      </c>
    </row>
    <row r="31" spans="1:21" ht="15.6" customHeight="1" x14ac:dyDescent="0.3">
      <c r="A31" s="1" t="str">
        <f t="shared" si="0"/>
        <v>ORD-30</v>
      </c>
      <c r="B31" s="10">
        <f t="shared" ca="1" si="5"/>
        <v>45432</v>
      </c>
      <c r="C31" s="7">
        <f t="shared" ca="1" si="1"/>
        <v>45436</v>
      </c>
      <c r="D31" s="1" t="str">
        <f t="shared" ca="1" si="6"/>
        <v>Standard Class</v>
      </c>
      <c r="E31" s="1" t="str">
        <f t="shared" ca="1" si="7"/>
        <v>CU-376</v>
      </c>
      <c r="F31" s="1" t="str">
        <f t="shared" ca="1" si="8"/>
        <v>Ravi Mehta</v>
      </c>
      <c r="G31" s="1" t="str">
        <f t="shared" ca="1" si="9"/>
        <v>Corporate</v>
      </c>
      <c r="H31" s="1" t="str">
        <f t="shared" si="10"/>
        <v>India</v>
      </c>
      <c r="I31" s="1" t="str">
        <f t="shared" ca="1" si="11"/>
        <v>North</v>
      </c>
      <c r="J31" s="1" t="str">
        <f t="shared" ca="1" si="12"/>
        <v>Karnataka</v>
      </c>
      <c r="K31" s="1" t="str">
        <f t="shared" ca="1" si="13"/>
        <v>Chennai</v>
      </c>
      <c r="L31" s="1" t="str">
        <f t="shared" ca="1" si="14"/>
        <v>Furniture</v>
      </c>
      <c r="M31" s="1" t="str">
        <f t="shared" ca="1" si="15"/>
        <v>Mobile</v>
      </c>
      <c r="N31" s="1" t="str">
        <f t="shared" ca="1" si="16"/>
        <v>Samsung Galaxy</v>
      </c>
      <c r="O31" s="1">
        <f t="shared" ca="1" si="17"/>
        <v>41310</v>
      </c>
      <c r="P31" s="1">
        <f t="shared" ca="1" si="18"/>
        <v>4</v>
      </c>
      <c r="Q31" s="19">
        <f t="shared" ca="1" si="19"/>
        <v>0.2</v>
      </c>
      <c r="R31" s="1">
        <f t="shared" ca="1" si="20"/>
        <v>-826.20000000000073</v>
      </c>
      <c r="S31" s="1">
        <f t="shared" ca="1" si="2"/>
        <v>4</v>
      </c>
      <c r="T31" s="19">
        <f t="shared" ca="1" si="3"/>
        <v>-2.0000000000000018E-2</v>
      </c>
      <c r="U31" s="1" t="str">
        <f t="shared" ca="1" si="4"/>
        <v>High Discount</v>
      </c>
    </row>
    <row r="32" spans="1:21" ht="15.6" customHeight="1" x14ac:dyDescent="0.3">
      <c r="A32" s="1" t="str">
        <f t="shared" si="0"/>
        <v>ORD-31</v>
      </c>
      <c r="B32" s="10">
        <f t="shared" ca="1" si="5"/>
        <v>45498</v>
      </c>
      <c r="C32" s="7">
        <f t="shared" ca="1" si="1"/>
        <v>45503</v>
      </c>
      <c r="D32" s="1" t="str">
        <f t="shared" ca="1" si="6"/>
        <v>Same Day</v>
      </c>
      <c r="E32" s="1" t="str">
        <f t="shared" ca="1" si="7"/>
        <v>CU-649</v>
      </c>
      <c r="F32" s="1" t="str">
        <f t="shared" ca="1" si="8"/>
        <v>Pooja Yadav</v>
      </c>
      <c r="G32" s="1" t="str">
        <f t="shared" ca="1" si="9"/>
        <v>Home Office</v>
      </c>
      <c r="H32" s="1" t="str">
        <f t="shared" si="10"/>
        <v>India</v>
      </c>
      <c r="I32" s="1" t="str">
        <f t="shared" ca="1" si="11"/>
        <v>South</v>
      </c>
      <c r="J32" s="1" t="str">
        <f t="shared" ca="1" si="12"/>
        <v>Gujarat</v>
      </c>
      <c r="K32" s="1" t="str">
        <f t="shared" ca="1" si="13"/>
        <v>Bangalore</v>
      </c>
      <c r="L32" s="1" t="str">
        <f t="shared" ca="1" si="14"/>
        <v>Technology</v>
      </c>
      <c r="M32" s="1" t="str">
        <f t="shared" ca="1" si="15"/>
        <v>Laptop</v>
      </c>
      <c r="N32" s="1" t="str">
        <f t="shared" ca="1" si="16"/>
        <v>HP Pavilion</v>
      </c>
      <c r="O32" s="1">
        <f t="shared" ca="1" si="17"/>
        <v>34469</v>
      </c>
      <c r="P32" s="1">
        <f t="shared" ca="1" si="18"/>
        <v>7</v>
      </c>
      <c r="Q32" s="19">
        <f t="shared" ca="1" si="19"/>
        <v>0.1</v>
      </c>
      <c r="R32" s="1">
        <f t="shared" ca="1" si="20"/>
        <v>2757.5199999999995</v>
      </c>
      <c r="S32" s="1">
        <f t="shared" ca="1" si="2"/>
        <v>5</v>
      </c>
      <c r="T32" s="19">
        <f t="shared" ca="1" si="3"/>
        <v>7.9999999999999988E-2</v>
      </c>
      <c r="U32" s="1" t="str">
        <f t="shared" ca="1" si="4"/>
        <v>Low Discount</v>
      </c>
    </row>
    <row r="33" spans="1:21" ht="15.6" customHeight="1" x14ac:dyDescent="0.3">
      <c r="A33" s="1" t="str">
        <f t="shared" si="0"/>
        <v>ORD-32</v>
      </c>
      <c r="B33" s="10">
        <f t="shared" ca="1" si="5"/>
        <v>45326</v>
      </c>
      <c r="C33" s="7">
        <f t="shared" ca="1" si="1"/>
        <v>45329</v>
      </c>
      <c r="D33" s="1" t="str">
        <f t="shared" ca="1" si="6"/>
        <v>Same Day</v>
      </c>
      <c r="E33" s="1" t="str">
        <f t="shared" ca="1" si="7"/>
        <v>CU-598</v>
      </c>
      <c r="F33" s="1" t="str">
        <f t="shared" ca="1" si="8"/>
        <v>Priya Singh</v>
      </c>
      <c r="G33" s="1" t="str">
        <f t="shared" ca="1" si="9"/>
        <v>Home Office</v>
      </c>
      <c r="H33" s="1" t="str">
        <f t="shared" si="10"/>
        <v>India</v>
      </c>
      <c r="I33" s="1" t="str">
        <f t="shared" ca="1" si="11"/>
        <v>South</v>
      </c>
      <c r="J33" s="1" t="str">
        <f t="shared" ca="1" si="12"/>
        <v>Tamil Nadu</v>
      </c>
      <c r="K33" s="1" t="str">
        <f t="shared" ca="1" si="13"/>
        <v>Mumbai</v>
      </c>
      <c r="L33" s="1" t="str">
        <f t="shared" ca="1" si="14"/>
        <v>Technology</v>
      </c>
      <c r="M33" s="1" t="str">
        <f t="shared" ca="1" si="15"/>
        <v>Mobile</v>
      </c>
      <c r="N33" s="1" t="str">
        <f t="shared" ca="1" si="16"/>
        <v>Wireless Mouse</v>
      </c>
      <c r="O33" s="1">
        <f t="shared" ca="1" si="17"/>
        <v>24509</v>
      </c>
      <c r="P33" s="1">
        <f t="shared" ca="1" si="18"/>
        <v>10</v>
      </c>
      <c r="Q33" s="19">
        <f t="shared" ca="1" si="19"/>
        <v>0</v>
      </c>
      <c r="R33" s="1">
        <f t="shared" ca="1" si="20"/>
        <v>4411.62</v>
      </c>
      <c r="S33" s="1">
        <f t="shared" ca="1" si="2"/>
        <v>3</v>
      </c>
      <c r="T33" s="19">
        <f t="shared" ca="1" si="3"/>
        <v>0.18</v>
      </c>
      <c r="U33" s="1" t="str">
        <f t="shared" ca="1" si="4"/>
        <v>Low Discount</v>
      </c>
    </row>
    <row r="34" spans="1:21" ht="15.6" customHeight="1" x14ac:dyDescent="0.3">
      <c r="A34" s="1" t="str">
        <f t="shared" si="0"/>
        <v>ORD-33</v>
      </c>
      <c r="B34" s="10">
        <f t="shared" ca="1" si="5"/>
        <v>45330</v>
      </c>
      <c r="C34" s="7">
        <f t="shared" ca="1" si="1"/>
        <v>45333</v>
      </c>
      <c r="D34" s="1" t="str">
        <f t="shared" ca="1" si="6"/>
        <v>Same Day</v>
      </c>
      <c r="E34" s="1" t="str">
        <f t="shared" ca="1" si="7"/>
        <v>CU-118</v>
      </c>
      <c r="F34" s="1" t="str">
        <f t="shared" ca="1" si="8"/>
        <v>Rahul Sharma</v>
      </c>
      <c r="G34" s="1" t="str">
        <f t="shared" ca="1" si="9"/>
        <v>Consumer</v>
      </c>
      <c r="H34" s="1" t="str">
        <f t="shared" si="10"/>
        <v>India</v>
      </c>
      <c r="I34" s="1" t="str">
        <f t="shared" ca="1" si="11"/>
        <v>East</v>
      </c>
      <c r="J34" s="1" t="str">
        <f t="shared" ca="1" si="12"/>
        <v>Gujarat</v>
      </c>
      <c r="K34" s="1" t="str">
        <f t="shared" ca="1" si="13"/>
        <v>Delhi</v>
      </c>
      <c r="L34" s="1" t="str">
        <f t="shared" ca="1" si="14"/>
        <v>Furniture</v>
      </c>
      <c r="M34" s="1" t="str">
        <f t="shared" ca="1" si="15"/>
        <v>Mobile</v>
      </c>
      <c r="N34" s="1" t="str">
        <f t="shared" ca="1" si="16"/>
        <v>HP Pavilion</v>
      </c>
      <c r="O34" s="1">
        <f t="shared" ca="1" si="17"/>
        <v>16528</v>
      </c>
      <c r="P34" s="1">
        <f t="shared" ca="1" si="18"/>
        <v>8</v>
      </c>
      <c r="Q34" s="19">
        <f t="shared" ca="1" si="19"/>
        <v>0.05</v>
      </c>
      <c r="R34" s="1">
        <f t="shared" ca="1" si="20"/>
        <v>2148.64</v>
      </c>
      <c r="S34" s="1">
        <f t="shared" ca="1" si="2"/>
        <v>3</v>
      </c>
      <c r="T34" s="19">
        <f t="shared" ca="1" si="3"/>
        <v>0.13</v>
      </c>
      <c r="U34" s="1" t="str">
        <f t="shared" ca="1" si="4"/>
        <v>Low Discount</v>
      </c>
    </row>
    <row r="35" spans="1:21" ht="15.6" customHeight="1" x14ac:dyDescent="0.3">
      <c r="A35" s="1" t="str">
        <f t="shared" si="0"/>
        <v>ORD-34</v>
      </c>
      <c r="B35" s="10">
        <f t="shared" ca="1" si="5"/>
        <v>45622</v>
      </c>
      <c r="C35" s="7">
        <f t="shared" ca="1" si="1"/>
        <v>45625</v>
      </c>
      <c r="D35" s="1" t="str">
        <f t="shared" ca="1" si="6"/>
        <v>Second Class</v>
      </c>
      <c r="E35" s="1" t="str">
        <f t="shared" ca="1" si="7"/>
        <v>CU-433</v>
      </c>
      <c r="F35" s="1" t="str">
        <f t="shared" ca="1" si="8"/>
        <v>Pooja Yadav</v>
      </c>
      <c r="G35" s="1" t="str">
        <f t="shared" ca="1" si="9"/>
        <v>Home Office</v>
      </c>
      <c r="H35" s="1" t="str">
        <f t="shared" si="10"/>
        <v>India</v>
      </c>
      <c r="I35" s="1" t="str">
        <f t="shared" ca="1" si="11"/>
        <v>South</v>
      </c>
      <c r="J35" s="1" t="str">
        <f t="shared" ca="1" si="12"/>
        <v>Tamil Nadu</v>
      </c>
      <c r="K35" s="1" t="str">
        <f t="shared" ca="1" si="13"/>
        <v>Mumbai</v>
      </c>
      <c r="L35" s="1" t="str">
        <f t="shared" ca="1" si="14"/>
        <v>Office Supplies</v>
      </c>
      <c r="M35" s="1" t="str">
        <f t="shared" ca="1" si="15"/>
        <v>Table</v>
      </c>
      <c r="N35" s="1" t="str">
        <f t="shared" ca="1" si="16"/>
        <v>Samsung Galaxy</v>
      </c>
      <c r="O35" s="1">
        <f t="shared" ca="1" si="17"/>
        <v>3865</v>
      </c>
      <c r="P35" s="1">
        <f t="shared" ca="1" si="18"/>
        <v>2</v>
      </c>
      <c r="Q35" s="19">
        <f t="shared" ca="1" si="19"/>
        <v>0.05</v>
      </c>
      <c r="R35" s="1">
        <f t="shared" ca="1" si="20"/>
        <v>502.45000000000005</v>
      </c>
      <c r="S35" s="1">
        <f t="shared" ca="1" si="2"/>
        <v>3</v>
      </c>
      <c r="T35" s="19">
        <f t="shared" ca="1" si="3"/>
        <v>0.13</v>
      </c>
      <c r="U35" s="1" t="str">
        <f t="shared" ca="1" si="4"/>
        <v>Low Discount</v>
      </c>
    </row>
    <row r="36" spans="1:21" ht="15.6" customHeight="1" x14ac:dyDescent="0.3">
      <c r="A36" s="1" t="str">
        <f t="shared" si="0"/>
        <v>ORD-35</v>
      </c>
      <c r="B36" s="10">
        <f t="shared" ca="1" si="5"/>
        <v>45436</v>
      </c>
      <c r="C36" s="7">
        <f t="shared" ca="1" si="1"/>
        <v>45439</v>
      </c>
      <c r="D36" s="1" t="str">
        <f t="shared" ca="1" si="6"/>
        <v>Same Day</v>
      </c>
      <c r="E36" s="1" t="str">
        <f t="shared" ca="1" si="7"/>
        <v>CU-506</v>
      </c>
      <c r="F36" s="1" t="str">
        <f t="shared" ca="1" si="8"/>
        <v>Amit Verma</v>
      </c>
      <c r="G36" s="1" t="str">
        <f t="shared" ca="1" si="9"/>
        <v>Corporate</v>
      </c>
      <c r="H36" s="1" t="str">
        <f t="shared" si="10"/>
        <v>India</v>
      </c>
      <c r="I36" s="1" t="str">
        <f t="shared" ca="1" si="11"/>
        <v>North</v>
      </c>
      <c r="J36" s="1" t="str">
        <f t="shared" ca="1" si="12"/>
        <v>Delhi</v>
      </c>
      <c r="K36" s="1" t="str">
        <f t="shared" ca="1" si="13"/>
        <v>Chennai</v>
      </c>
      <c r="L36" s="1" t="str">
        <f t="shared" ca="1" si="14"/>
        <v>Office Supplies</v>
      </c>
      <c r="M36" s="1" t="str">
        <f t="shared" ca="1" si="15"/>
        <v>Chair</v>
      </c>
      <c r="N36" s="1" t="str">
        <f t="shared" ca="1" si="16"/>
        <v>Office Table</v>
      </c>
      <c r="O36" s="1">
        <f t="shared" ca="1" si="17"/>
        <v>6938</v>
      </c>
      <c r="P36" s="1">
        <f t="shared" ca="1" si="18"/>
        <v>6</v>
      </c>
      <c r="Q36" s="19">
        <f t="shared" ca="1" si="19"/>
        <v>0</v>
      </c>
      <c r="R36" s="1">
        <f t="shared" ca="1" si="20"/>
        <v>1248.8399999999999</v>
      </c>
      <c r="S36" s="1">
        <f t="shared" ca="1" si="2"/>
        <v>3</v>
      </c>
      <c r="T36" s="19">
        <f t="shared" ca="1" si="3"/>
        <v>0.18</v>
      </c>
      <c r="U36" s="1" t="str">
        <f t="shared" ca="1" si="4"/>
        <v>Low Discount</v>
      </c>
    </row>
    <row r="37" spans="1:21" ht="15.6" customHeight="1" x14ac:dyDescent="0.3">
      <c r="A37" s="1" t="str">
        <f t="shared" si="0"/>
        <v>ORD-36</v>
      </c>
      <c r="B37" s="10">
        <f t="shared" ca="1" si="5"/>
        <v>45628</v>
      </c>
      <c r="C37" s="7">
        <f t="shared" ca="1" si="1"/>
        <v>45631</v>
      </c>
      <c r="D37" s="1" t="str">
        <f t="shared" ca="1" si="6"/>
        <v>Second Class</v>
      </c>
      <c r="E37" s="1" t="str">
        <f t="shared" ca="1" si="7"/>
        <v>CU-502</v>
      </c>
      <c r="F37" s="1" t="str">
        <f t="shared" ca="1" si="8"/>
        <v>Pooja Yadav</v>
      </c>
      <c r="G37" s="1" t="str">
        <f t="shared" ca="1" si="9"/>
        <v>Home Office</v>
      </c>
      <c r="H37" s="1" t="str">
        <f t="shared" si="10"/>
        <v>India</v>
      </c>
      <c r="I37" s="1" t="str">
        <f t="shared" ca="1" si="11"/>
        <v>West</v>
      </c>
      <c r="J37" s="1" t="str">
        <f t="shared" ca="1" si="12"/>
        <v>Tamil Nadu</v>
      </c>
      <c r="K37" s="1" t="str">
        <f t="shared" ca="1" si="13"/>
        <v>Chennai</v>
      </c>
      <c r="L37" s="1" t="str">
        <f t="shared" ca="1" si="14"/>
        <v>Technology</v>
      </c>
      <c r="M37" s="1" t="str">
        <f t="shared" ca="1" si="15"/>
        <v>Laptop</v>
      </c>
      <c r="N37" s="1" t="str">
        <f t="shared" ca="1" si="16"/>
        <v>Office Table</v>
      </c>
      <c r="O37" s="1">
        <f t="shared" ca="1" si="17"/>
        <v>13368</v>
      </c>
      <c r="P37" s="1">
        <f t="shared" ca="1" si="18"/>
        <v>6</v>
      </c>
      <c r="Q37" s="19">
        <f t="shared" ca="1" si="19"/>
        <v>0.2</v>
      </c>
      <c r="R37" s="1">
        <f t="shared" ca="1" si="20"/>
        <v>-267.36000000000024</v>
      </c>
      <c r="S37" s="1">
        <f t="shared" ca="1" si="2"/>
        <v>3</v>
      </c>
      <c r="T37" s="19">
        <f t="shared" ca="1" si="3"/>
        <v>-2.0000000000000018E-2</v>
      </c>
      <c r="U37" s="1" t="str">
        <f t="shared" ca="1" si="4"/>
        <v>High Discount</v>
      </c>
    </row>
    <row r="38" spans="1:21" ht="15.6" customHeight="1" x14ac:dyDescent="0.3">
      <c r="A38" s="1" t="str">
        <f t="shared" si="0"/>
        <v>ORD-37</v>
      </c>
      <c r="B38" s="10">
        <f t="shared" ca="1" si="5"/>
        <v>45504</v>
      </c>
      <c r="C38" s="7">
        <f t="shared" ca="1" si="1"/>
        <v>45505</v>
      </c>
      <c r="D38" s="1" t="str">
        <f t="shared" ca="1" si="6"/>
        <v>Standard Class</v>
      </c>
      <c r="E38" s="1" t="str">
        <f t="shared" ca="1" si="7"/>
        <v>CU-944</v>
      </c>
      <c r="F38" s="1" t="str">
        <f t="shared" ca="1" si="8"/>
        <v>Priya Singh</v>
      </c>
      <c r="G38" s="1" t="str">
        <f t="shared" ca="1" si="9"/>
        <v>Corporate</v>
      </c>
      <c r="H38" s="1" t="str">
        <f t="shared" si="10"/>
        <v>India</v>
      </c>
      <c r="I38" s="1" t="str">
        <f t="shared" ca="1" si="11"/>
        <v>South</v>
      </c>
      <c r="J38" s="1" t="str">
        <f t="shared" ca="1" si="12"/>
        <v>Gujarat</v>
      </c>
      <c r="K38" s="1" t="str">
        <f t="shared" ca="1" si="13"/>
        <v>Kolkata</v>
      </c>
      <c r="L38" s="1" t="str">
        <f t="shared" ca="1" si="14"/>
        <v>Technology</v>
      </c>
      <c r="M38" s="1" t="str">
        <f t="shared" ca="1" si="15"/>
        <v>Chair</v>
      </c>
      <c r="N38" s="1" t="str">
        <f t="shared" ca="1" si="16"/>
        <v>Wireless Mouse</v>
      </c>
      <c r="O38" s="1">
        <f t="shared" ca="1" si="17"/>
        <v>37417</v>
      </c>
      <c r="P38" s="1">
        <f t="shared" ca="1" si="18"/>
        <v>8</v>
      </c>
      <c r="Q38" s="19">
        <f t="shared" ca="1" si="19"/>
        <v>0</v>
      </c>
      <c r="R38" s="1">
        <f t="shared" ca="1" si="20"/>
        <v>6735.0599999999995</v>
      </c>
      <c r="S38" s="1">
        <f t="shared" ca="1" si="2"/>
        <v>1</v>
      </c>
      <c r="T38" s="19">
        <f t="shared" ca="1" si="3"/>
        <v>0.18</v>
      </c>
      <c r="U38" s="1" t="str">
        <f t="shared" ca="1" si="4"/>
        <v>Low Discount</v>
      </c>
    </row>
    <row r="39" spans="1:21" ht="15.6" customHeight="1" x14ac:dyDescent="0.3">
      <c r="A39" s="1" t="str">
        <f t="shared" si="0"/>
        <v>ORD-38</v>
      </c>
      <c r="B39" s="10">
        <f t="shared" ca="1" si="5"/>
        <v>45476</v>
      </c>
      <c r="C39" s="7">
        <f t="shared" ca="1" si="1"/>
        <v>45480</v>
      </c>
      <c r="D39" s="1" t="str">
        <f t="shared" ca="1" si="6"/>
        <v>Standard Class</v>
      </c>
      <c r="E39" s="1" t="str">
        <f t="shared" ca="1" si="7"/>
        <v>CU-558</v>
      </c>
      <c r="F39" s="1" t="str">
        <f t="shared" ca="1" si="8"/>
        <v>Sunil Kumar</v>
      </c>
      <c r="G39" s="1" t="str">
        <f t="shared" ca="1" si="9"/>
        <v>Home Office</v>
      </c>
      <c r="H39" s="1" t="str">
        <f t="shared" si="10"/>
        <v>India</v>
      </c>
      <c r="I39" s="1" t="str">
        <f t="shared" ca="1" si="11"/>
        <v>East</v>
      </c>
      <c r="J39" s="1" t="str">
        <f t="shared" ca="1" si="12"/>
        <v>Karnataka</v>
      </c>
      <c r="K39" s="1" t="str">
        <f t="shared" ca="1" si="13"/>
        <v>Chennai</v>
      </c>
      <c r="L39" s="1" t="str">
        <f t="shared" ca="1" si="14"/>
        <v>Office Supplies</v>
      </c>
      <c r="M39" s="1" t="str">
        <f t="shared" ca="1" si="15"/>
        <v>Paper</v>
      </c>
      <c r="N39" s="1" t="str">
        <f t="shared" ca="1" si="16"/>
        <v>Office Chair</v>
      </c>
      <c r="O39" s="1">
        <f t="shared" ca="1" si="17"/>
        <v>20642</v>
      </c>
      <c r="P39" s="1">
        <f t="shared" ca="1" si="18"/>
        <v>3</v>
      </c>
      <c r="Q39" s="19">
        <f t="shared" ca="1" si="19"/>
        <v>0.3</v>
      </c>
      <c r="R39" s="1">
        <f t="shared" ca="1" si="20"/>
        <v>-2477.04</v>
      </c>
      <c r="S39" s="1">
        <f t="shared" ca="1" si="2"/>
        <v>4</v>
      </c>
      <c r="T39" s="19">
        <f t="shared" ca="1" si="3"/>
        <v>-0.12</v>
      </c>
      <c r="U39" s="1" t="str">
        <f t="shared" ca="1" si="4"/>
        <v>High Discount</v>
      </c>
    </row>
    <row r="40" spans="1:21" ht="15.6" customHeight="1" x14ac:dyDescent="0.3">
      <c r="A40" s="1" t="str">
        <f t="shared" si="0"/>
        <v>ORD-39</v>
      </c>
      <c r="B40" s="10">
        <f t="shared" ca="1" si="5"/>
        <v>45347</v>
      </c>
      <c r="C40" s="7">
        <f t="shared" ca="1" si="1"/>
        <v>45347</v>
      </c>
      <c r="D40" s="1" t="str">
        <f t="shared" ca="1" si="6"/>
        <v>Standard Class</v>
      </c>
      <c r="E40" s="1" t="str">
        <f t="shared" ca="1" si="7"/>
        <v>CU-807</v>
      </c>
      <c r="F40" s="1" t="str">
        <f t="shared" ca="1" si="8"/>
        <v>Amit Verma</v>
      </c>
      <c r="G40" s="1" t="str">
        <f t="shared" ca="1" si="9"/>
        <v>Corporate</v>
      </c>
      <c r="H40" s="1" t="str">
        <f t="shared" si="10"/>
        <v>India</v>
      </c>
      <c r="I40" s="1" t="str">
        <f t="shared" ca="1" si="11"/>
        <v>West</v>
      </c>
      <c r="J40" s="1" t="str">
        <f t="shared" ca="1" si="12"/>
        <v>Delhi</v>
      </c>
      <c r="K40" s="1" t="str">
        <f t="shared" ca="1" si="13"/>
        <v>Chennai</v>
      </c>
      <c r="L40" s="1" t="str">
        <f t="shared" ca="1" si="14"/>
        <v>Furniture</v>
      </c>
      <c r="M40" s="1" t="str">
        <f t="shared" ca="1" si="15"/>
        <v>Mobile</v>
      </c>
      <c r="N40" s="1" t="str">
        <f t="shared" ca="1" si="16"/>
        <v>Office Table</v>
      </c>
      <c r="O40" s="1">
        <f t="shared" ca="1" si="17"/>
        <v>42213</v>
      </c>
      <c r="P40" s="1">
        <f t="shared" ca="1" si="18"/>
        <v>2</v>
      </c>
      <c r="Q40" s="19">
        <f t="shared" ca="1" si="19"/>
        <v>0.05</v>
      </c>
      <c r="R40" s="1">
        <f t="shared" ca="1" si="20"/>
        <v>5487.6900000000005</v>
      </c>
      <c r="S40" s="1">
        <f t="shared" ca="1" si="2"/>
        <v>0</v>
      </c>
      <c r="T40" s="19">
        <f t="shared" ca="1" si="3"/>
        <v>0.13</v>
      </c>
      <c r="U40" s="1" t="str">
        <f t="shared" ca="1" si="4"/>
        <v>Low Discount</v>
      </c>
    </row>
    <row r="41" spans="1:21" ht="15.6" customHeight="1" x14ac:dyDescent="0.3">
      <c r="A41" s="1" t="str">
        <f t="shared" si="0"/>
        <v>ORD-40</v>
      </c>
      <c r="B41" s="10">
        <f t="shared" ca="1" si="5"/>
        <v>45370</v>
      </c>
      <c r="C41" s="7">
        <f t="shared" ca="1" si="1"/>
        <v>45375</v>
      </c>
      <c r="D41" s="1" t="str">
        <f t="shared" ca="1" si="6"/>
        <v>Second Class</v>
      </c>
      <c r="E41" s="1" t="str">
        <f t="shared" ca="1" si="7"/>
        <v>CU-469</v>
      </c>
      <c r="F41" s="1" t="str">
        <f t="shared" ca="1" si="8"/>
        <v>Pooja Yadav</v>
      </c>
      <c r="G41" s="1" t="str">
        <f t="shared" ca="1" si="9"/>
        <v>Consumer</v>
      </c>
      <c r="H41" s="1" t="str">
        <f t="shared" si="10"/>
        <v>India</v>
      </c>
      <c r="I41" s="1" t="str">
        <f t="shared" ca="1" si="11"/>
        <v>East</v>
      </c>
      <c r="J41" s="1" t="str">
        <f t="shared" ca="1" si="12"/>
        <v>Karnataka</v>
      </c>
      <c r="K41" s="1" t="str">
        <f t="shared" ca="1" si="13"/>
        <v>Bangalore</v>
      </c>
      <c r="L41" s="1" t="str">
        <f t="shared" ca="1" si="14"/>
        <v>Technology</v>
      </c>
      <c r="M41" s="1" t="str">
        <f t="shared" ca="1" si="15"/>
        <v>Laptop</v>
      </c>
      <c r="N41" s="1" t="str">
        <f t="shared" ca="1" si="16"/>
        <v>Samsung Galaxy</v>
      </c>
      <c r="O41" s="1">
        <f t="shared" ca="1" si="17"/>
        <v>43541</v>
      </c>
      <c r="P41" s="1">
        <f t="shared" ca="1" si="18"/>
        <v>3</v>
      </c>
      <c r="Q41" s="19">
        <f t="shared" ca="1" si="19"/>
        <v>0</v>
      </c>
      <c r="R41" s="1">
        <f t="shared" ca="1" si="20"/>
        <v>7837.38</v>
      </c>
      <c r="S41" s="1">
        <f t="shared" ca="1" si="2"/>
        <v>5</v>
      </c>
      <c r="T41" s="19">
        <f t="shared" ca="1" si="3"/>
        <v>0.18</v>
      </c>
      <c r="U41" s="1" t="str">
        <f t="shared" ca="1" si="4"/>
        <v>Low Discount</v>
      </c>
    </row>
    <row r="42" spans="1:21" ht="15.6" customHeight="1" x14ac:dyDescent="0.3">
      <c r="A42" s="1" t="str">
        <f t="shared" si="0"/>
        <v>ORD-41</v>
      </c>
      <c r="B42" s="10">
        <f t="shared" ca="1" si="5"/>
        <v>45437</v>
      </c>
      <c r="C42" s="7">
        <f t="shared" ca="1" si="1"/>
        <v>45439</v>
      </c>
      <c r="D42" s="1" t="str">
        <f t="shared" ca="1" si="6"/>
        <v>Standard Class</v>
      </c>
      <c r="E42" s="1" t="str">
        <f t="shared" ca="1" si="7"/>
        <v>CU-244</v>
      </c>
      <c r="F42" s="1" t="str">
        <f t="shared" ca="1" si="8"/>
        <v>Ravi Mehta</v>
      </c>
      <c r="G42" s="1" t="str">
        <f t="shared" ca="1" si="9"/>
        <v>Home Office</v>
      </c>
      <c r="H42" s="1" t="str">
        <f t="shared" si="10"/>
        <v>India</v>
      </c>
      <c r="I42" s="1" t="str">
        <f t="shared" ca="1" si="11"/>
        <v>North</v>
      </c>
      <c r="J42" s="1" t="str">
        <f t="shared" ca="1" si="12"/>
        <v>West Bengal</v>
      </c>
      <c r="K42" s="1" t="str">
        <f t="shared" ca="1" si="13"/>
        <v>Kolkata</v>
      </c>
      <c r="L42" s="1" t="str">
        <f t="shared" ca="1" si="14"/>
        <v>Office Supplies</v>
      </c>
      <c r="M42" s="1" t="str">
        <f t="shared" ca="1" si="15"/>
        <v>Paper</v>
      </c>
      <c r="N42" s="1" t="str">
        <f t="shared" ca="1" si="16"/>
        <v>HP Pavilion</v>
      </c>
      <c r="O42" s="1">
        <f t="shared" ca="1" si="17"/>
        <v>9441</v>
      </c>
      <c r="P42" s="1">
        <f t="shared" ca="1" si="18"/>
        <v>3</v>
      </c>
      <c r="Q42" s="19">
        <f t="shared" ca="1" si="19"/>
        <v>0.3</v>
      </c>
      <c r="R42" s="1">
        <f t="shared" ca="1" si="20"/>
        <v>-1132.9199999999998</v>
      </c>
      <c r="S42" s="1">
        <f t="shared" ca="1" si="2"/>
        <v>2</v>
      </c>
      <c r="T42" s="19">
        <f t="shared" ca="1" si="3"/>
        <v>-0.11999999999999998</v>
      </c>
      <c r="U42" s="1" t="str">
        <f t="shared" ca="1" si="4"/>
        <v>High Discount</v>
      </c>
    </row>
    <row r="43" spans="1:21" ht="15.6" customHeight="1" x14ac:dyDescent="0.3">
      <c r="A43" s="1" t="str">
        <f t="shared" si="0"/>
        <v>ORD-42</v>
      </c>
      <c r="B43" s="10">
        <f t="shared" ca="1" si="5"/>
        <v>45350</v>
      </c>
      <c r="C43" s="7">
        <f t="shared" ca="1" si="1"/>
        <v>45354</v>
      </c>
      <c r="D43" s="1" t="str">
        <f t="shared" ca="1" si="6"/>
        <v>Same Day</v>
      </c>
      <c r="E43" s="1" t="str">
        <f t="shared" ca="1" si="7"/>
        <v>CU-423</v>
      </c>
      <c r="F43" s="1" t="str">
        <f t="shared" ca="1" si="8"/>
        <v>Ravi Mehta</v>
      </c>
      <c r="G43" s="1" t="str">
        <f t="shared" ca="1" si="9"/>
        <v>Consumer</v>
      </c>
      <c r="H43" s="1" t="str">
        <f t="shared" si="10"/>
        <v>India</v>
      </c>
      <c r="I43" s="1" t="str">
        <f t="shared" ca="1" si="11"/>
        <v>West</v>
      </c>
      <c r="J43" s="1" t="str">
        <f t="shared" ca="1" si="12"/>
        <v>Maharashtra</v>
      </c>
      <c r="K43" s="1" t="str">
        <f t="shared" ca="1" si="13"/>
        <v>Ahmedabad</v>
      </c>
      <c r="L43" s="1" t="str">
        <f t="shared" ca="1" si="14"/>
        <v>Technology</v>
      </c>
      <c r="M43" s="1" t="str">
        <f t="shared" ca="1" si="15"/>
        <v>Chair</v>
      </c>
      <c r="N43" s="1" t="str">
        <f t="shared" ca="1" si="16"/>
        <v>Samsung Galaxy</v>
      </c>
      <c r="O43" s="1">
        <f t="shared" ca="1" si="17"/>
        <v>2883</v>
      </c>
      <c r="P43" s="1">
        <f t="shared" ca="1" si="18"/>
        <v>4</v>
      </c>
      <c r="Q43" s="19">
        <f t="shared" ca="1" si="19"/>
        <v>0</v>
      </c>
      <c r="R43" s="1">
        <f t="shared" ca="1" si="20"/>
        <v>518.93999999999994</v>
      </c>
      <c r="S43" s="1">
        <f t="shared" ca="1" si="2"/>
        <v>4</v>
      </c>
      <c r="T43" s="19">
        <f t="shared" ca="1" si="3"/>
        <v>0.18</v>
      </c>
      <c r="U43" s="1" t="str">
        <f t="shared" ca="1" si="4"/>
        <v>Low Discount</v>
      </c>
    </row>
    <row r="44" spans="1:21" ht="15.6" customHeight="1" x14ac:dyDescent="0.3">
      <c r="A44" s="1" t="str">
        <f t="shared" si="0"/>
        <v>ORD-43</v>
      </c>
      <c r="B44" s="10">
        <f t="shared" ca="1" si="5"/>
        <v>45359</v>
      </c>
      <c r="C44" s="7">
        <f t="shared" ca="1" si="1"/>
        <v>45362</v>
      </c>
      <c r="D44" s="1" t="str">
        <f t="shared" ca="1" si="6"/>
        <v>Second Class</v>
      </c>
      <c r="E44" s="1" t="str">
        <f t="shared" ca="1" si="7"/>
        <v>CU-741</v>
      </c>
      <c r="F44" s="1" t="str">
        <f t="shared" ca="1" si="8"/>
        <v>Ravi Mehta</v>
      </c>
      <c r="G44" s="1" t="str">
        <f t="shared" ca="1" si="9"/>
        <v>Consumer</v>
      </c>
      <c r="H44" s="1" t="str">
        <f t="shared" si="10"/>
        <v>India</v>
      </c>
      <c r="I44" s="1" t="str">
        <f t="shared" ca="1" si="11"/>
        <v>East</v>
      </c>
      <c r="J44" s="1" t="str">
        <f t="shared" ca="1" si="12"/>
        <v>Tamil Nadu</v>
      </c>
      <c r="K44" s="1" t="str">
        <f t="shared" ca="1" si="13"/>
        <v>Chennai</v>
      </c>
      <c r="L44" s="1" t="str">
        <f t="shared" ca="1" si="14"/>
        <v>Furniture</v>
      </c>
      <c r="M44" s="1" t="str">
        <f t="shared" ca="1" si="15"/>
        <v>Laptop</v>
      </c>
      <c r="N44" s="1" t="str">
        <f t="shared" ca="1" si="16"/>
        <v>Samsung Galaxy</v>
      </c>
      <c r="O44" s="1">
        <f t="shared" ca="1" si="17"/>
        <v>48478</v>
      </c>
      <c r="P44" s="1">
        <f t="shared" ca="1" si="18"/>
        <v>2</v>
      </c>
      <c r="Q44" s="19">
        <f t="shared" ca="1" si="19"/>
        <v>0.05</v>
      </c>
      <c r="R44" s="1">
        <f t="shared" ca="1" si="20"/>
        <v>6302.14</v>
      </c>
      <c r="S44" s="1">
        <f t="shared" ca="1" si="2"/>
        <v>3</v>
      </c>
      <c r="T44" s="19">
        <f t="shared" ca="1" si="3"/>
        <v>0.13</v>
      </c>
      <c r="U44" s="1" t="str">
        <f t="shared" ca="1" si="4"/>
        <v>Low Discount</v>
      </c>
    </row>
    <row r="45" spans="1:21" ht="15.6" customHeight="1" x14ac:dyDescent="0.3">
      <c r="A45" s="1" t="str">
        <f t="shared" si="0"/>
        <v>ORD-44</v>
      </c>
      <c r="B45" s="10">
        <f t="shared" ca="1" si="5"/>
        <v>45501</v>
      </c>
      <c r="C45" s="7">
        <f t="shared" ca="1" si="1"/>
        <v>45501</v>
      </c>
      <c r="D45" s="1" t="str">
        <f t="shared" ca="1" si="6"/>
        <v>Second Class</v>
      </c>
      <c r="E45" s="1" t="str">
        <f t="shared" ca="1" si="7"/>
        <v>CU-515</v>
      </c>
      <c r="F45" s="1" t="str">
        <f t="shared" ca="1" si="8"/>
        <v>Amit Verma</v>
      </c>
      <c r="G45" s="1" t="str">
        <f t="shared" ca="1" si="9"/>
        <v>Corporate</v>
      </c>
      <c r="H45" s="1" t="str">
        <f t="shared" si="10"/>
        <v>India</v>
      </c>
      <c r="I45" s="1" t="str">
        <f t="shared" ca="1" si="11"/>
        <v>North</v>
      </c>
      <c r="J45" s="1" t="str">
        <f t="shared" ca="1" si="12"/>
        <v>Maharashtra</v>
      </c>
      <c r="K45" s="1" t="str">
        <f t="shared" ca="1" si="13"/>
        <v>Mumbai</v>
      </c>
      <c r="L45" s="1" t="str">
        <f t="shared" ca="1" si="14"/>
        <v>Furniture</v>
      </c>
      <c r="M45" s="1" t="str">
        <f t="shared" ca="1" si="15"/>
        <v>Chair</v>
      </c>
      <c r="N45" s="1" t="str">
        <f t="shared" ca="1" si="16"/>
        <v>Office Chair</v>
      </c>
      <c r="O45" s="1">
        <f t="shared" ca="1" si="17"/>
        <v>41502</v>
      </c>
      <c r="P45" s="1">
        <f t="shared" ca="1" si="18"/>
        <v>1</v>
      </c>
      <c r="Q45" s="19">
        <f t="shared" ca="1" si="19"/>
        <v>0.3</v>
      </c>
      <c r="R45" s="1">
        <f t="shared" ca="1" si="20"/>
        <v>-4980.24</v>
      </c>
      <c r="S45" s="1">
        <f t="shared" ca="1" si="2"/>
        <v>0</v>
      </c>
      <c r="T45" s="19">
        <f t="shared" ca="1" si="3"/>
        <v>-0.12</v>
      </c>
      <c r="U45" s="1" t="str">
        <f t="shared" ca="1" si="4"/>
        <v>High Discount</v>
      </c>
    </row>
    <row r="46" spans="1:21" ht="15.6" customHeight="1" x14ac:dyDescent="0.3">
      <c r="A46" s="1" t="str">
        <f t="shared" si="0"/>
        <v>ORD-45</v>
      </c>
      <c r="B46" s="10">
        <f t="shared" ca="1" si="5"/>
        <v>45553</v>
      </c>
      <c r="C46" s="7">
        <f t="shared" ca="1" si="1"/>
        <v>45558</v>
      </c>
      <c r="D46" s="1" t="str">
        <f t="shared" ca="1" si="6"/>
        <v>Second Class</v>
      </c>
      <c r="E46" s="1" t="str">
        <f t="shared" ca="1" si="7"/>
        <v>CU-726</v>
      </c>
      <c r="F46" s="1" t="str">
        <f t="shared" ca="1" si="8"/>
        <v>Priya Singh</v>
      </c>
      <c r="G46" s="1" t="str">
        <f t="shared" ca="1" si="9"/>
        <v>Consumer</v>
      </c>
      <c r="H46" s="1" t="str">
        <f t="shared" si="10"/>
        <v>India</v>
      </c>
      <c r="I46" s="1" t="str">
        <f t="shared" ca="1" si="11"/>
        <v>North</v>
      </c>
      <c r="J46" s="1" t="str">
        <f t="shared" ca="1" si="12"/>
        <v>Maharashtra</v>
      </c>
      <c r="K46" s="1" t="str">
        <f t="shared" ca="1" si="13"/>
        <v>Chennai</v>
      </c>
      <c r="L46" s="1" t="str">
        <f t="shared" ca="1" si="14"/>
        <v>Office Supplies</v>
      </c>
      <c r="M46" s="1" t="str">
        <f t="shared" ca="1" si="15"/>
        <v>Paper</v>
      </c>
      <c r="N46" s="1" t="str">
        <f t="shared" ca="1" si="16"/>
        <v>Wireless Mouse</v>
      </c>
      <c r="O46" s="1">
        <f t="shared" ca="1" si="17"/>
        <v>26330</v>
      </c>
      <c r="P46" s="1">
        <f t="shared" ca="1" si="18"/>
        <v>2</v>
      </c>
      <c r="Q46" s="19">
        <f t="shared" ca="1" si="19"/>
        <v>0.2</v>
      </c>
      <c r="R46" s="1">
        <f t="shared" ca="1" si="20"/>
        <v>-526.60000000000048</v>
      </c>
      <c r="S46" s="1">
        <f t="shared" ca="1" si="2"/>
        <v>5</v>
      </c>
      <c r="T46" s="19">
        <f t="shared" ca="1" si="3"/>
        <v>-2.0000000000000018E-2</v>
      </c>
      <c r="U46" s="1" t="str">
        <f t="shared" ca="1" si="4"/>
        <v>High Discount</v>
      </c>
    </row>
    <row r="47" spans="1:21" ht="15.6" customHeight="1" x14ac:dyDescent="0.3">
      <c r="A47" s="1" t="str">
        <f t="shared" si="0"/>
        <v>ORD-46</v>
      </c>
      <c r="B47" s="10">
        <f t="shared" ca="1" si="5"/>
        <v>45379</v>
      </c>
      <c r="C47" s="7">
        <f t="shared" ca="1" si="1"/>
        <v>45381</v>
      </c>
      <c r="D47" s="1" t="str">
        <f t="shared" ca="1" si="6"/>
        <v>Same Day</v>
      </c>
      <c r="E47" s="1" t="str">
        <f t="shared" ca="1" si="7"/>
        <v>CU-292</v>
      </c>
      <c r="F47" s="1" t="str">
        <f t="shared" ca="1" si="8"/>
        <v>Rahul Sharma</v>
      </c>
      <c r="G47" s="1" t="str">
        <f t="shared" ca="1" si="9"/>
        <v>Consumer</v>
      </c>
      <c r="H47" s="1" t="str">
        <f t="shared" si="10"/>
        <v>India</v>
      </c>
      <c r="I47" s="1" t="str">
        <f t="shared" ca="1" si="11"/>
        <v>East</v>
      </c>
      <c r="J47" s="1" t="str">
        <f t="shared" ca="1" si="12"/>
        <v>West Bengal</v>
      </c>
      <c r="K47" s="1" t="str">
        <f t="shared" ca="1" si="13"/>
        <v>Mumbai</v>
      </c>
      <c r="L47" s="1" t="str">
        <f t="shared" ca="1" si="14"/>
        <v>Office Supplies</v>
      </c>
      <c r="M47" s="1" t="str">
        <f t="shared" ca="1" si="15"/>
        <v>Chair</v>
      </c>
      <c r="N47" s="1" t="str">
        <f t="shared" ca="1" si="16"/>
        <v>A4 Paper</v>
      </c>
      <c r="O47" s="1">
        <f t="shared" ca="1" si="17"/>
        <v>22705</v>
      </c>
      <c r="P47" s="1">
        <f t="shared" ca="1" si="18"/>
        <v>4</v>
      </c>
      <c r="Q47" s="19">
        <f t="shared" ca="1" si="19"/>
        <v>0.3</v>
      </c>
      <c r="R47" s="1">
        <f t="shared" ca="1" si="20"/>
        <v>-2724.6</v>
      </c>
      <c r="S47" s="1">
        <f t="shared" ca="1" si="2"/>
        <v>2</v>
      </c>
      <c r="T47" s="19">
        <f t="shared" ca="1" si="3"/>
        <v>-0.12</v>
      </c>
      <c r="U47" s="1" t="str">
        <f t="shared" ca="1" si="4"/>
        <v>High Discount</v>
      </c>
    </row>
    <row r="48" spans="1:21" ht="15.6" customHeight="1" x14ac:dyDescent="0.3">
      <c r="A48" s="1" t="str">
        <f t="shared" si="0"/>
        <v>ORD-47</v>
      </c>
      <c r="B48" s="10">
        <f t="shared" ca="1" si="5"/>
        <v>45449</v>
      </c>
      <c r="C48" s="7">
        <f t="shared" ca="1" si="1"/>
        <v>45454</v>
      </c>
      <c r="D48" s="1" t="str">
        <f t="shared" ca="1" si="6"/>
        <v>Standard Class</v>
      </c>
      <c r="E48" s="1" t="str">
        <f t="shared" ca="1" si="7"/>
        <v>CU-582</v>
      </c>
      <c r="F48" s="1" t="str">
        <f t="shared" ca="1" si="8"/>
        <v>Arjun Malhotra</v>
      </c>
      <c r="G48" s="1" t="str">
        <f t="shared" ca="1" si="9"/>
        <v>Consumer</v>
      </c>
      <c r="H48" s="1" t="str">
        <f t="shared" si="10"/>
        <v>India</v>
      </c>
      <c r="I48" s="1" t="str">
        <f t="shared" ca="1" si="11"/>
        <v>East</v>
      </c>
      <c r="J48" s="1" t="str">
        <f t="shared" ca="1" si="12"/>
        <v>Maharashtra</v>
      </c>
      <c r="K48" s="1" t="str">
        <f t="shared" ca="1" si="13"/>
        <v>Mumbai</v>
      </c>
      <c r="L48" s="1" t="str">
        <f t="shared" ca="1" si="14"/>
        <v>Furniture</v>
      </c>
      <c r="M48" s="1" t="str">
        <f t="shared" ca="1" si="15"/>
        <v>Mobile</v>
      </c>
      <c r="N48" s="1" t="str">
        <f t="shared" ca="1" si="16"/>
        <v>Office Chair</v>
      </c>
      <c r="O48" s="1">
        <f t="shared" ca="1" si="17"/>
        <v>29361</v>
      </c>
      <c r="P48" s="1">
        <f t="shared" ca="1" si="18"/>
        <v>6</v>
      </c>
      <c r="Q48" s="19">
        <f t="shared" ca="1" si="19"/>
        <v>0.3</v>
      </c>
      <c r="R48" s="1">
        <f t="shared" ca="1" si="20"/>
        <v>-3523.3199999999997</v>
      </c>
      <c r="S48" s="1">
        <f t="shared" ca="1" si="2"/>
        <v>5</v>
      </c>
      <c r="T48" s="19">
        <f t="shared" ca="1" si="3"/>
        <v>-0.12</v>
      </c>
      <c r="U48" s="1" t="str">
        <f t="shared" ca="1" si="4"/>
        <v>High Discount</v>
      </c>
    </row>
    <row r="49" spans="1:21" ht="15.6" customHeight="1" x14ac:dyDescent="0.3">
      <c r="A49" s="1" t="str">
        <f t="shared" si="0"/>
        <v>ORD-48</v>
      </c>
      <c r="B49" s="10">
        <f t="shared" ca="1" si="5"/>
        <v>45475</v>
      </c>
      <c r="C49" s="7">
        <f t="shared" ca="1" si="1"/>
        <v>45476</v>
      </c>
      <c r="D49" s="1" t="str">
        <f t="shared" ca="1" si="6"/>
        <v>Standard Class</v>
      </c>
      <c r="E49" s="1" t="str">
        <f t="shared" ca="1" si="7"/>
        <v>CU-561</v>
      </c>
      <c r="F49" s="1" t="str">
        <f t="shared" ca="1" si="8"/>
        <v>Pooja Yadav</v>
      </c>
      <c r="G49" s="1" t="str">
        <f t="shared" ca="1" si="9"/>
        <v>Consumer</v>
      </c>
      <c r="H49" s="1" t="str">
        <f t="shared" si="10"/>
        <v>India</v>
      </c>
      <c r="I49" s="1" t="str">
        <f t="shared" ca="1" si="11"/>
        <v>North</v>
      </c>
      <c r="J49" s="1" t="str">
        <f t="shared" ca="1" si="12"/>
        <v>Gujarat</v>
      </c>
      <c r="K49" s="1" t="str">
        <f t="shared" ca="1" si="13"/>
        <v>Ahmedabad</v>
      </c>
      <c r="L49" s="1" t="str">
        <f t="shared" ca="1" si="14"/>
        <v>Furniture</v>
      </c>
      <c r="M49" s="1" t="str">
        <f t="shared" ca="1" si="15"/>
        <v>Table</v>
      </c>
      <c r="N49" s="1" t="str">
        <f t="shared" ca="1" si="16"/>
        <v>HP Pavilion</v>
      </c>
      <c r="O49" s="1">
        <f t="shared" ca="1" si="17"/>
        <v>42447</v>
      </c>
      <c r="P49" s="1">
        <f t="shared" ca="1" si="18"/>
        <v>8</v>
      </c>
      <c r="Q49" s="19">
        <f t="shared" ca="1" si="19"/>
        <v>0</v>
      </c>
      <c r="R49" s="1">
        <f t="shared" ca="1" si="20"/>
        <v>7640.46</v>
      </c>
      <c r="S49" s="1">
        <f t="shared" ca="1" si="2"/>
        <v>1</v>
      </c>
      <c r="T49" s="19">
        <f t="shared" ca="1" si="3"/>
        <v>0.18</v>
      </c>
      <c r="U49" s="1" t="str">
        <f t="shared" ca="1" si="4"/>
        <v>Low Discount</v>
      </c>
    </row>
    <row r="50" spans="1:21" ht="15.6" customHeight="1" x14ac:dyDescent="0.3">
      <c r="A50" s="1" t="str">
        <f t="shared" si="0"/>
        <v>ORD-49</v>
      </c>
      <c r="B50" s="10">
        <f t="shared" ca="1" si="5"/>
        <v>45595</v>
      </c>
      <c r="C50" s="7">
        <f t="shared" ca="1" si="1"/>
        <v>45599</v>
      </c>
      <c r="D50" s="1" t="str">
        <f t="shared" ca="1" si="6"/>
        <v>Standard Class</v>
      </c>
      <c r="E50" s="1" t="str">
        <f t="shared" ca="1" si="7"/>
        <v>CU-981</v>
      </c>
      <c r="F50" s="1" t="str">
        <f t="shared" ca="1" si="8"/>
        <v>Ravi Mehta</v>
      </c>
      <c r="G50" s="1" t="str">
        <f t="shared" ca="1" si="9"/>
        <v>Home Office</v>
      </c>
      <c r="H50" s="1" t="str">
        <f t="shared" si="10"/>
        <v>India</v>
      </c>
      <c r="I50" s="1" t="str">
        <f t="shared" ca="1" si="11"/>
        <v>South</v>
      </c>
      <c r="J50" s="1" t="str">
        <f t="shared" ca="1" si="12"/>
        <v>Gujarat</v>
      </c>
      <c r="K50" s="1" t="str">
        <f t="shared" ca="1" si="13"/>
        <v>Chennai</v>
      </c>
      <c r="L50" s="1" t="str">
        <f t="shared" ca="1" si="14"/>
        <v>Furniture</v>
      </c>
      <c r="M50" s="1" t="str">
        <f t="shared" ca="1" si="15"/>
        <v>Chair</v>
      </c>
      <c r="N50" s="1" t="str">
        <f t="shared" ca="1" si="16"/>
        <v>Office Table</v>
      </c>
      <c r="O50" s="1">
        <f t="shared" ca="1" si="17"/>
        <v>33437</v>
      </c>
      <c r="P50" s="1">
        <f t="shared" ca="1" si="18"/>
        <v>2</v>
      </c>
      <c r="Q50" s="19">
        <f t="shared" ca="1" si="19"/>
        <v>0</v>
      </c>
      <c r="R50" s="1">
        <f t="shared" ca="1" si="20"/>
        <v>6018.66</v>
      </c>
      <c r="S50" s="1">
        <f t="shared" ca="1" si="2"/>
        <v>4</v>
      </c>
      <c r="T50" s="19">
        <f t="shared" ca="1" si="3"/>
        <v>0.18</v>
      </c>
      <c r="U50" s="1" t="str">
        <f t="shared" ca="1" si="4"/>
        <v>Low Discount</v>
      </c>
    </row>
    <row r="51" spans="1:21" ht="15.6" customHeight="1" x14ac:dyDescent="0.3">
      <c r="A51" s="1" t="str">
        <f t="shared" si="0"/>
        <v>ORD-50</v>
      </c>
      <c r="B51" s="10">
        <f t="shared" ca="1" si="5"/>
        <v>45381</v>
      </c>
      <c r="C51" s="7">
        <f t="shared" ca="1" si="1"/>
        <v>45385</v>
      </c>
      <c r="D51" s="1" t="str">
        <f t="shared" ca="1" si="6"/>
        <v>Second Class</v>
      </c>
      <c r="E51" s="1" t="str">
        <f t="shared" ca="1" si="7"/>
        <v>CU-129</v>
      </c>
      <c r="F51" s="1" t="str">
        <f t="shared" ca="1" si="8"/>
        <v>Priya Singh</v>
      </c>
      <c r="G51" s="1" t="str">
        <f t="shared" ca="1" si="9"/>
        <v>Home Office</v>
      </c>
      <c r="H51" s="1" t="str">
        <f t="shared" si="10"/>
        <v>India</v>
      </c>
      <c r="I51" s="1" t="str">
        <f t="shared" ca="1" si="11"/>
        <v>East</v>
      </c>
      <c r="J51" s="1" t="str">
        <f t="shared" ca="1" si="12"/>
        <v>Gujarat</v>
      </c>
      <c r="K51" s="1" t="str">
        <f t="shared" ca="1" si="13"/>
        <v>Kolkata</v>
      </c>
      <c r="L51" s="1" t="str">
        <f t="shared" ca="1" si="14"/>
        <v>Furniture</v>
      </c>
      <c r="M51" s="1" t="str">
        <f t="shared" ca="1" si="15"/>
        <v>Chair</v>
      </c>
      <c r="N51" s="1" t="str">
        <f t="shared" ca="1" si="16"/>
        <v>HP Pavilion</v>
      </c>
      <c r="O51" s="1">
        <f t="shared" ca="1" si="17"/>
        <v>4508</v>
      </c>
      <c r="P51" s="1">
        <f t="shared" ca="1" si="18"/>
        <v>9</v>
      </c>
      <c r="Q51" s="19">
        <f t="shared" ca="1" si="19"/>
        <v>0.2</v>
      </c>
      <c r="R51" s="1">
        <f t="shared" ca="1" si="20"/>
        <v>-90.160000000000082</v>
      </c>
      <c r="S51" s="1">
        <f t="shared" ca="1" si="2"/>
        <v>4</v>
      </c>
      <c r="T51" s="19">
        <f t="shared" ca="1" si="3"/>
        <v>-2.0000000000000018E-2</v>
      </c>
      <c r="U51" s="1" t="str">
        <f t="shared" ca="1" si="4"/>
        <v>High Discount</v>
      </c>
    </row>
    <row r="52" spans="1:21" ht="15.6" customHeight="1" x14ac:dyDescent="0.3">
      <c r="A52" s="1" t="str">
        <f t="shared" si="0"/>
        <v>ORD-51</v>
      </c>
      <c r="B52" s="10">
        <f t="shared" ca="1" si="5"/>
        <v>45464</v>
      </c>
      <c r="C52" s="7">
        <f t="shared" ca="1" si="1"/>
        <v>45464</v>
      </c>
      <c r="D52" s="1" t="str">
        <f t="shared" ca="1" si="6"/>
        <v>Same Day</v>
      </c>
      <c r="E52" s="1" t="str">
        <f t="shared" ca="1" si="7"/>
        <v>CU-502</v>
      </c>
      <c r="F52" s="1" t="str">
        <f t="shared" ca="1" si="8"/>
        <v>Arjun Malhotra</v>
      </c>
      <c r="G52" s="1" t="str">
        <f t="shared" ca="1" si="9"/>
        <v>Corporate</v>
      </c>
      <c r="H52" s="1" t="str">
        <f t="shared" si="10"/>
        <v>India</v>
      </c>
      <c r="I52" s="1" t="str">
        <f t="shared" ca="1" si="11"/>
        <v>East</v>
      </c>
      <c r="J52" s="1" t="str">
        <f t="shared" ca="1" si="12"/>
        <v>Delhi</v>
      </c>
      <c r="K52" s="1" t="str">
        <f t="shared" ca="1" si="13"/>
        <v>Bangalore</v>
      </c>
      <c r="L52" s="1" t="str">
        <f t="shared" ca="1" si="14"/>
        <v>Office Supplies</v>
      </c>
      <c r="M52" s="1" t="str">
        <f t="shared" ca="1" si="15"/>
        <v>Paper</v>
      </c>
      <c r="N52" s="1" t="str">
        <f t="shared" ca="1" si="16"/>
        <v>Samsung Galaxy</v>
      </c>
      <c r="O52" s="1">
        <f t="shared" ca="1" si="17"/>
        <v>24595</v>
      </c>
      <c r="P52" s="1">
        <f t="shared" ca="1" si="18"/>
        <v>1</v>
      </c>
      <c r="Q52" s="19">
        <f t="shared" ca="1" si="19"/>
        <v>0.3</v>
      </c>
      <c r="R52" s="1">
        <f t="shared" ca="1" si="20"/>
        <v>-2951.4</v>
      </c>
      <c r="S52" s="1">
        <f t="shared" ca="1" si="2"/>
        <v>0</v>
      </c>
      <c r="T52" s="19">
        <f t="shared" ca="1" si="3"/>
        <v>-0.12000000000000001</v>
      </c>
      <c r="U52" s="1" t="str">
        <f t="shared" ca="1" si="4"/>
        <v>High Discount</v>
      </c>
    </row>
    <row r="53" spans="1:21" ht="15.6" customHeight="1" x14ac:dyDescent="0.3">
      <c r="A53" s="1" t="str">
        <f t="shared" si="0"/>
        <v>ORD-52</v>
      </c>
      <c r="B53" s="10">
        <f t="shared" ca="1" si="5"/>
        <v>45490</v>
      </c>
      <c r="C53" s="7">
        <f t="shared" ca="1" si="1"/>
        <v>45493</v>
      </c>
      <c r="D53" s="1" t="str">
        <f t="shared" ca="1" si="6"/>
        <v>Same Day</v>
      </c>
      <c r="E53" s="1" t="str">
        <f t="shared" ca="1" si="7"/>
        <v>CU-356</v>
      </c>
      <c r="F53" s="1" t="str">
        <f t="shared" ca="1" si="8"/>
        <v>Priya Singh</v>
      </c>
      <c r="G53" s="1" t="str">
        <f t="shared" ca="1" si="9"/>
        <v>Home Office</v>
      </c>
      <c r="H53" s="1" t="str">
        <f t="shared" si="10"/>
        <v>India</v>
      </c>
      <c r="I53" s="1" t="str">
        <f t="shared" ca="1" si="11"/>
        <v>East</v>
      </c>
      <c r="J53" s="1" t="str">
        <f t="shared" ca="1" si="12"/>
        <v>Gujarat</v>
      </c>
      <c r="K53" s="1" t="str">
        <f t="shared" ca="1" si="13"/>
        <v>Delhi</v>
      </c>
      <c r="L53" s="1" t="str">
        <f t="shared" ca="1" si="14"/>
        <v>Furniture</v>
      </c>
      <c r="M53" s="1" t="str">
        <f t="shared" ca="1" si="15"/>
        <v>Mobile</v>
      </c>
      <c r="N53" s="1" t="str">
        <f t="shared" ca="1" si="16"/>
        <v>HP Pavilion</v>
      </c>
      <c r="O53" s="1">
        <f t="shared" ca="1" si="17"/>
        <v>7310</v>
      </c>
      <c r="P53" s="1">
        <f t="shared" ca="1" si="18"/>
        <v>7</v>
      </c>
      <c r="Q53" s="19">
        <f t="shared" ca="1" si="19"/>
        <v>0.1</v>
      </c>
      <c r="R53" s="1">
        <f t="shared" ca="1" si="20"/>
        <v>584.79999999999995</v>
      </c>
      <c r="S53" s="1">
        <f t="shared" ca="1" si="2"/>
        <v>3</v>
      </c>
      <c r="T53" s="19">
        <f t="shared" ca="1" si="3"/>
        <v>7.9999999999999988E-2</v>
      </c>
      <c r="U53" s="1" t="str">
        <f t="shared" ca="1" si="4"/>
        <v>Low Discount</v>
      </c>
    </row>
    <row r="54" spans="1:21" ht="15.6" customHeight="1" x14ac:dyDescent="0.3">
      <c r="A54" s="1" t="str">
        <f t="shared" si="0"/>
        <v>ORD-53</v>
      </c>
      <c r="B54" s="10">
        <f t="shared" ca="1" si="5"/>
        <v>45381</v>
      </c>
      <c r="C54" s="7">
        <f t="shared" ca="1" si="1"/>
        <v>45381</v>
      </c>
      <c r="D54" s="1" t="str">
        <f t="shared" ca="1" si="6"/>
        <v>Same Day</v>
      </c>
      <c r="E54" s="1" t="str">
        <f t="shared" ca="1" si="7"/>
        <v>CU-128</v>
      </c>
      <c r="F54" s="1" t="str">
        <f t="shared" ca="1" si="8"/>
        <v>Ravi Mehta</v>
      </c>
      <c r="G54" s="1" t="str">
        <f t="shared" ca="1" si="9"/>
        <v>Consumer</v>
      </c>
      <c r="H54" s="1" t="str">
        <f t="shared" si="10"/>
        <v>India</v>
      </c>
      <c r="I54" s="1" t="str">
        <f t="shared" ca="1" si="11"/>
        <v>South</v>
      </c>
      <c r="J54" s="1" t="str">
        <f t="shared" ca="1" si="12"/>
        <v>West Bengal</v>
      </c>
      <c r="K54" s="1" t="str">
        <f t="shared" ca="1" si="13"/>
        <v>Ahmedabad</v>
      </c>
      <c r="L54" s="1" t="str">
        <f t="shared" ca="1" si="14"/>
        <v>Office Supplies</v>
      </c>
      <c r="M54" s="1" t="str">
        <f t="shared" ca="1" si="15"/>
        <v>Table</v>
      </c>
      <c r="N54" s="1" t="str">
        <f t="shared" ca="1" si="16"/>
        <v>Office Table</v>
      </c>
      <c r="O54" s="1">
        <f t="shared" ca="1" si="17"/>
        <v>31006</v>
      </c>
      <c r="P54" s="1">
        <f t="shared" ca="1" si="18"/>
        <v>1</v>
      </c>
      <c r="Q54" s="19">
        <f t="shared" ca="1" si="19"/>
        <v>0.1</v>
      </c>
      <c r="R54" s="1">
        <f t="shared" ca="1" si="20"/>
        <v>2480.4799999999996</v>
      </c>
      <c r="S54" s="1">
        <f t="shared" ca="1" si="2"/>
        <v>0</v>
      </c>
      <c r="T54" s="19">
        <f t="shared" ca="1" si="3"/>
        <v>7.9999999999999988E-2</v>
      </c>
      <c r="U54" s="1" t="str">
        <f t="shared" ca="1" si="4"/>
        <v>Low Discount</v>
      </c>
    </row>
    <row r="55" spans="1:21" ht="15.6" customHeight="1" x14ac:dyDescent="0.3">
      <c r="A55" s="1" t="str">
        <f t="shared" si="0"/>
        <v>ORD-54</v>
      </c>
      <c r="B55" s="10">
        <f t="shared" ca="1" si="5"/>
        <v>45387</v>
      </c>
      <c r="C55" s="7">
        <f t="shared" ca="1" si="1"/>
        <v>45389</v>
      </c>
      <c r="D55" s="1" t="str">
        <f t="shared" ca="1" si="6"/>
        <v>Second Class</v>
      </c>
      <c r="E55" s="1" t="str">
        <f t="shared" ca="1" si="7"/>
        <v>CU-347</v>
      </c>
      <c r="F55" s="1" t="str">
        <f t="shared" ca="1" si="8"/>
        <v>Arjun Malhotra</v>
      </c>
      <c r="G55" s="1" t="str">
        <f t="shared" ca="1" si="9"/>
        <v>Corporate</v>
      </c>
      <c r="H55" s="1" t="str">
        <f t="shared" si="10"/>
        <v>India</v>
      </c>
      <c r="I55" s="1" t="str">
        <f t="shared" ca="1" si="11"/>
        <v>East</v>
      </c>
      <c r="J55" s="1" t="str">
        <f t="shared" ca="1" si="12"/>
        <v>Tamil Nadu</v>
      </c>
      <c r="K55" s="1" t="str">
        <f t="shared" ca="1" si="13"/>
        <v>Bangalore</v>
      </c>
      <c r="L55" s="1" t="str">
        <f t="shared" ca="1" si="14"/>
        <v>Technology</v>
      </c>
      <c r="M55" s="1" t="str">
        <f t="shared" ca="1" si="15"/>
        <v>Paper</v>
      </c>
      <c r="N55" s="1" t="str">
        <f t="shared" ca="1" si="16"/>
        <v>Samsung Galaxy</v>
      </c>
      <c r="O55" s="1">
        <f t="shared" ca="1" si="17"/>
        <v>42086</v>
      </c>
      <c r="P55" s="1">
        <f t="shared" ca="1" si="18"/>
        <v>7</v>
      </c>
      <c r="Q55" s="19">
        <f t="shared" ca="1" si="19"/>
        <v>0</v>
      </c>
      <c r="R55" s="1">
        <f t="shared" ca="1" si="20"/>
        <v>7575.48</v>
      </c>
      <c r="S55" s="1">
        <f t="shared" ca="1" si="2"/>
        <v>2</v>
      </c>
      <c r="T55" s="19">
        <f t="shared" ca="1" si="3"/>
        <v>0.18</v>
      </c>
      <c r="U55" s="1" t="str">
        <f t="shared" ca="1" si="4"/>
        <v>Low Discount</v>
      </c>
    </row>
    <row r="56" spans="1:21" ht="15.6" customHeight="1" x14ac:dyDescent="0.3">
      <c r="A56" s="1" t="str">
        <f t="shared" si="0"/>
        <v>ORD-55</v>
      </c>
      <c r="B56" s="10">
        <f t="shared" ca="1" si="5"/>
        <v>45577</v>
      </c>
      <c r="C56" s="7">
        <f t="shared" ca="1" si="1"/>
        <v>45582</v>
      </c>
      <c r="D56" s="1" t="str">
        <f t="shared" ca="1" si="6"/>
        <v>Same Day</v>
      </c>
      <c r="E56" s="1" t="str">
        <f t="shared" ca="1" si="7"/>
        <v>CU-310</v>
      </c>
      <c r="F56" s="1" t="str">
        <f t="shared" ca="1" si="8"/>
        <v>Ravi Mehta</v>
      </c>
      <c r="G56" s="1" t="str">
        <f t="shared" ca="1" si="9"/>
        <v>Corporate</v>
      </c>
      <c r="H56" s="1" t="str">
        <f t="shared" si="10"/>
        <v>India</v>
      </c>
      <c r="I56" s="1" t="str">
        <f t="shared" ca="1" si="11"/>
        <v>East</v>
      </c>
      <c r="J56" s="1" t="str">
        <f t="shared" ca="1" si="12"/>
        <v>Gujarat</v>
      </c>
      <c r="K56" s="1" t="str">
        <f t="shared" ca="1" si="13"/>
        <v>Delhi</v>
      </c>
      <c r="L56" s="1" t="str">
        <f t="shared" ca="1" si="14"/>
        <v>Office Supplies</v>
      </c>
      <c r="M56" s="1" t="str">
        <f t="shared" ca="1" si="15"/>
        <v>Laptop</v>
      </c>
      <c r="N56" s="1" t="str">
        <f t="shared" ca="1" si="16"/>
        <v>Office Chair</v>
      </c>
      <c r="O56" s="1">
        <f t="shared" ca="1" si="17"/>
        <v>17838</v>
      </c>
      <c r="P56" s="1">
        <f t="shared" ca="1" si="18"/>
        <v>10</v>
      </c>
      <c r="Q56" s="19">
        <f t="shared" ca="1" si="19"/>
        <v>0.2</v>
      </c>
      <c r="R56" s="1">
        <f t="shared" ca="1" si="20"/>
        <v>-356.76000000000033</v>
      </c>
      <c r="S56" s="1">
        <f t="shared" ca="1" si="2"/>
        <v>5</v>
      </c>
      <c r="T56" s="19">
        <f t="shared" ca="1" si="3"/>
        <v>-2.0000000000000018E-2</v>
      </c>
      <c r="U56" s="1" t="str">
        <f t="shared" ca="1" si="4"/>
        <v>High Discount</v>
      </c>
    </row>
    <row r="57" spans="1:21" ht="15.6" customHeight="1" x14ac:dyDescent="0.3">
      <c r="A57" s="1" t="str">
        <f t="shared" si="0"/>
        <v>ORD-56</v>
      </c>
      <c r="B57" s="10">
        <f t="shared" ca="1" si="5"/>
        <v>45449</v>
      </c>
      <c r="C57" s="7">
        <f t="shared" ca="1" si="1"/>
        <v>45449</v>
      </c>
      <c r="D57" s="1" t="str">
        <f t="shared" ca="1" si="6"/>
        <v>Same Day</v>
      </c>
      <c r="E57" s="1" t="str">
        <f t="shared" ca="1" si="7"/>
        <v>CU-543</v>
      </c>
      <c r="F57" s="1" t="str">
        <f t="shared" ca="1" si="8"/>
        <v>Priya Singh</v>
      </c>
      <c r="G57" s="1" t="str">
        <f t="shared" ca="1" si="9"/>
        <v>Corporate</v>
      </c>
      <c r="H57" s="1" t="str">
        <f t="shared" si="10"/>
        <v>India</v>
      </c>
      <c r="I57" s="1" t="str">
        <f t="shared" ca="1" si="11"/>
        <v>East</v>
      </c>
      <c r="J57" s="1" t="str">
        <f t="shared" ca="1" si="12"/>
        <v>Tamil Nadu</v>
      </c>
      <c r="K57" s="1" t="str">
        <f t="shared" ca="1" si="13"/>
        <v>Mumbai</v>
      </c>
      <c r="L57" s="1" t="str">
        <f t="shared" ca="1" si="14"/>
        <v>Technology</v>
      </c>
      <c r="M57" s="1" t="str">
        <f t="shared" ca="1" si="15"/>
        <v>Chair</v>
      </c>
      <c r="N57" s="1" t="str">
        <f t="shared" ca="1" si="16"/>
        <v>Office Chair</v>
      </c>
      <c r="O57" s="1">
        <f t="shared" ca="1" si="17"/>
        <v>38323</v>
      </c>
      <c r="P57" s="1">
        <f t="shared" ca="1" si="18"/>
        <v>8</v>
      </c>
      <c r="Q57" s="19">
        <f t="shared" ca="1" si="19"/>
        <v>0.1</v>
      </c>
      <c r="R57" s="1">
        <f t="shared" ca="1" si="20"/>
        <v>3065.8399999999997</v>
      </c>
      <c r="S57" s="1">
        <f t="shared" ca="1" si="2"/>
        <v>0</v>
      </c>
      <c r="T57" s="19">
        <f t="shared" ca="1" si="3"/>
        <v>7.9999999999999988E-2</v>
      </c>
      <c r="U57" s="1" t="str">
        <f t="shared" ca="1" si="4"/>
        <v>Low Discount</v>
      </c>
    </row>
    <row r="58" spans="1:21" ht="15.6" customHeight="1" x14ac:dyDescent="0.3">
      <c r="A58" s="1" t="str">
        <f t="shared" si="0"/>
        <v>ORD-57</v>
      </c>
      <c r="B58" s="10">
        <f t="shared" ca="1" si="5"/>
        <v>45491</v>
      </c>
      <c r="C58" s="7">
        <f t="shared" ca="1" si="1"/>
        <v>45496</v>
      </c>
      <c r="D58" s="1" t="str">
        <f t="shared" ca="1" si="6"/>
        <v>Standard Class</v>
      </c>
      <c r="E58" s="1" t="str">
        <f t="shared" ca="1" si="7"/>
        <v>CU-392</v>
      </c>
      <c r="F58" s="1" t="str">
        <f t="shared" ca="1" si="8"/>
        <v>Sunil Kumar</v>
      </c>
      <c r="G58" s="1" t="str">
        <f t="shared" ca="1" si="9"/>
        <v>Home Office</v>
      </c>
      <c r="H58" s="1" t="str">
        <f t="shared" si="10"/>
        <v>India</v>
      </c>
      <c r="I58" s="1" t="str">
        <f t="shared" ca="1" si="11"/>
        <v>West</v>
      </c>
      <c r="J58" s="1" t="str">
        <f t="shared" ca="1" si="12"/>
        <v>Karnataka</v>
      </c>
      <c r="K58" s="1" t="str">
        <f t="shared" ca="1" si="13"/>
        <v>Bangalore</v>
      </c>
      <c r="L58" s="1" t="str">
        <f t="shared" ca="1" si="14"/>
        <v>Office Supplies</v>
      </c>
      <c r="M58" s="1" t="str">
        <f t="shared" ca="1" si="15"/>
        <v>Chair</v>
      </c>
      <c r="N58" s="1" t="str">
        <f t="shared" ca="1" si="16"/>
        <v>Office Chair</v>
      </c>
      <c r="O58" s="1">
        <f t="shared" ca="1" si="17"/>
        <v>20840</v>
      </c>
      <c r="P58" s="1">
        <f t="shared" ca="1" si="18"/>
        <v>7</v>
      </c>
      <c r="Q58" s="19">
        <f t="shared" ca="1" si="19"/>
        <v>0.2</v>
      </c>
      <c r="R58" s="1">
        <f t="shared" ca="1" si="20"/>
        <v>-416.80000000000035</v>
      </c>
      <c r="S58" s="1">
        <f t="shared" ca="1" si="2"/>
        <v>5</v>
      </c>
      <c r="T58" s="19">
        <f t="shared" ca="1" si="3"/>
        <v>-2.0000000000000018E-2</v>
      </c>
      <c r="U58" s="1" t="str">
        <f t="shared" ca="1" si="4"/>
        <v>High Discount</v>
      </c>
    </row>
    <row r="59" spans="1:21" ht="15.6" customHeight="1" x14ac:dyDescent="0.3">
      <c r="A59" s="1" t="str">
        <f t="shared" si="0"/>
        <v>ORD-58</v>
      </c>
      <c r="B59" s="10">
        <f t="shared" ca="1" si="5"/>
        <v>45623</v>
      </c>
      <c r="C59" s="7">
        <f t="shared" ca="1" si="1"/>
        <v>45628</v>
      </c>
      <c r="D59" s="1" t="str">
        <f t="shared" ca="1" si="6"/>
        <v>Standard Class</v>
      </c>
      <c r="E59" s="1" t="str">
        <f t="shared" ca="1" si="7"/>
        <v>CU-960</v>
      </c>
      <c r="F59" s="1" t="str">
        <f t="shared" ca="1" si="8"/>
        <v>Neha Gupta</v>
      </c>
      <c r="G59" s="1" t="str">
        <f t="shared" ca="1" si="9"/>
        <v>Home Office</v>
      </c>
      <c r="H59" s="1" t="str">
        <f t="shared" si="10"/>
        <v>India</v>
      </c>
      <c r="I59" s="1" t="str">
        <f t="shared" ca="1" si="11"/>
        <v>West</v>
      </c>
      <c r="J59" s="1" t="str">
        <f t="shared" ca="1" si="12"/>
        <v>Karnataka</v>
      </c>
      <c r="K59" s="1" t="str">
        <f t="shared" ca="1" si="13"/>
        <v>Delhi</v>
      </c>
      <c r="L59" s="1" t="str">
        <f t="shared" ca="1" si="14"/>
        <v>Office Supplies</v>
      </c>
      <c r="M59" s="1" t="str">
        <f t="shared" ca="1" si="15"/>
        <v>Chair</v>
      </c>
      <c r="N59" s="1" t="str">
        <f t="shared" ca="1" si="16"/>
        <v>Office Chair</v>
      </c>
      <c r="O59" s="1">
        <f t="shared" ca="1" si="17"/>
        <v>8206</v>
      </c>
      <c r="P59" s="1">
        <f t="shared" ca="1" si="18"/>
        <v>4</v>
      </c>
      <c r="Q59" s="19">
        <f t="shared" ca="1" si="19"/>
        <v>0.3</v>
      </c>
      <c r="R59" s="1">
        <f t="shared" ca="1" si="20"/>
        <v>-984.71999999999991</v>
      </c>
      <c r="S59" s="1">
        <f t="shared" ca="1" si="2"/>
        <v>5</v>
      </c>
      <c r="T59" s="19">
        <f t="shared" ca="1" si="3"/>
        <v>-0.12</v>
      </c>
      <c r="U59" s="1" t="str">
        <f t="shared" ca="1" si="4"/>
        <v>High Discount</v>
      </c>
    </row>
    <row r="60" spans="1:21" ht="15.6" customHeight="1" x14ac:dyDescent="0.3">
      <c r="A60" s="1" t="str">
        <f t="shared" si="0"/>
        <v>ORD-59</v>
      </c>
      <c r="B60" s="10">
        <f t="shared" ca="1" si="5"/>
        <v>45576</v>
      </c>
      <c r="C60" s="7">
        <f t="shared" ca="1" si="1"/>
        <v>45581</v>
      </c>
      <c r="D60" s="1" t="str">
        <f t="shared" ca="1" si="6"/>
        <v>Same Day</v>
      </c>
      <c r="E60" s="1" t="str">
        <f t="shared" ca="1" si="7"/>
        <v>CU-820</v>
      </c>
      <c r="F60" s="1" t="str">
        <f t="shared" ca="1" si="8"/>
        <v>Neha Gupta</v>
      </c>
      <c r="G60" s="1" t="str">
        <f t="shared" ca="1" si="9"/>
        <v>Consumer</v>
      </c>
      <c r="H60" s="1" t="str">
        <f t="shared" si="10"/>
        <v>India</v>
      </c>
      <c r="I60" s="1" t="str">
        <f t="shared" ca="1" si="11"/>
        <v>East</v>
      </c>
      <c r="J60" s="1" t="str">
        <f t="shared" ca="1" si="12"/>
        <v>Maharashtra</v>
      </c>
      <c r="K60" s="1" t="str">
        <f t="shared" ca="1" si="13"/>
        <v>Kolkata</v>
      </c>
      <c r="L60" s="1" t="str">
        <f t="shared" ca="1" si="14"/>
        <v>Furniture</v>
      </c>
      <c r="M60" s="1" t="str">
        <f t="shared" ca="1" si="15"/>
        <v>Laptop</v>
      </c>
      <c r="N60" s="1" t="str">
        <f t="shared" ca="1" si="16"/>
        <v>Office Chair</v>
      </c>
      <c r="O60" s="1">
        <f t="shared" ca="1" si="17"/>
        <v>48958</v>
      </c>
      <c r="P60" s="1">
        <f t="shared" ca="1" si="18"/>
        <v>2</v>
      </c>
      <c r="Q60" s="19">
        <f t="shared" ca="1" si="19"/>
        <v>0.1</v>
      </c>
      <c r="R60" s="1">
        <f t="shared" ca="1" si="20"/>
        <v>3916.6399999999994</v>
      </c>
      <c r="S60" s="1">
        <f t="shared" ca="1" si="2"/>
        <v>5</v>
      </c>
      <c r="T60" s="19">
        <f t="shared" ca="1" si="3"/>
        <v>7.9999999999999988E-2</v>
      </c>
      <c r="U60" s="1" t="str">
        <f t="shared" ca="1" si="4"/>
        <v>Low Discount</v>
      </c>
    </row>
    <row r="61" spans="1:21" ht="15.6" customHeight="1" x14ac:dyDescent="0.3">
      <c r="A61" s="1" t="str">
        <f t="shared" si="0"/>
        <v>ORD-60</v>
      </c>
      <c r="B61" s="10">
        <f t="shared" ca="1" si="5"/>
        <v>45585</v>
      </c>
      <c r="C61" s="7">
        <f t="shared" ca="1" si="1"/>
        <v>45585</v>
      </c>
      <c r="D61" s="1" t="str">
        <f t="shared" ca="1" si="6"/>
        <v>Second Class</v>
      </c>
      <c r="E61" s="1" t="str">
        <f t="shared" ca="1" si="7"/>
        <v>CU-454</v>
      </c>
      <c r="F61" s="1" t="str">
        <f t="shared" ca="1" si="8"/>
        <v>Arjun Malhotra</v>
      </c>
      <c r="G61" s="1" t="str">
        <f t="shared" ca="1" si="9"/>
        <v>Consumer</v>
      </c>
      <c r="H61" s="1" t="str">
        <f t="shared" si="10"/>
        <v>India</v>
      </c>
      <c r="I61" s="1" t="str">
        <f t="shared" ca="1" si="11"/>
        <v>West</v>
      </c>
      <c r="J61" s="1" t="str">
        <f t="shared" ca="1" si="12"/>
        <v>Maharashtra</v>
      </c>
      <c r="K61" s="1" t="str">
        <f t="shared" ca="1" si="13"/>
        <v>Kolkata</v>
      </c>
      <c r="L61" s="1" t="str">
        <f t="shared" ca="1" si="14"/>
        <v>Furniture</v>
      </c>
      <c r="M61" s="1" t="str">
        <f t="shared" ca="1" si="15"/>
        <v>Laptop</v>
      </c>
      <c r="N61" s="1" t="str">
        <f t="shared" ca="1" si="16"/>
        <v>Samsung Galaxy</v>
      </c>
      <c r="O61" s="1">
        <f t="shared" ca="1" si="17"/>
        <v>46844</v>
      </c>
      <c r="P61" s="1">
        <f t="shared" ca="1" si="18"/>
        <v>7</v>
      </c>
      <c r="Q61" s="19">
        <f t="shared" ca="1" si="19"/>
        <v>0.1</v>
      </c>
      <c r="R61" s="1">
        <f t="shared" ca="1" si="20"/>
        <v>3747.5199999999995</v>
      </c>
      <c r="S61" s="1">
        <f t="shared" ca="1" si="2"/>
        <v>0</v>
      </c>
      <c r="T61" s="19">
        <f t="shared" ca="1" si="3"/>
        <v>7.9999999999999988E-2</v>
      </c>
      <c r="U61" s="1" t="str">
        <f t="shared" ca="1" si="4"/>
        <v>Low Discount</v>
      </c>
    </row>
    <row r="62" spans="1:21" ht="15.6" customHeight="1" x14ac:dyDescent="0.3">
      <c r="A62" s="1" t="str">
        <f t="shared" si="0"/>
        <v>ORD-61</v>
      </c>
      <c r="B62" s="10">
        <f t="shared" ca="1" si="5"/>
        <v>45546</v>
      </c>
      <c r="C62" s="7">
        <f t="shared" ca="1" si="1"/>
        <v>45548</v>
      </c>
      <c r="D62" s="1" t="str">
        <f t="shared" ca="1" si="6"/>
        <v>Standard Class</v>
      </c>
      <c r="E62" s="1" t="str">
        <f t="shared" ca="1" si="7"/>
        <v>CU-434</v>
      </c>
      <c r="F62" s="1" t="str">
        <f t="shared" ca="1" si="8"/>
        <v>Ravi Mehta</v>
      </c>
      <c r="G62" s="1" t="str">
        <f t="shared" ca="1" si="9"/>
        <v>Consumer</v>
      </c>
      <c r="H62" s="1" t="str">
        <f t="shared" si="10"/>
        <v>India</v>
      </c>
      <c r="I62" s="1" t="str">
        <f t="shared" ca="1" si="11"/>
        <v>North</v>
      </c>
      <c r="J62" s="1" t="str">
        <f t="shared" ca="1" si="12"/>
        <v>Karnataka</v>
      </c>
      <c r="K62" s="1" t="str">
        <f t="shared" ca="1" si="13"/>
        <v>Chennai</v>
      </c>
      <c r="L62" s="1" t="str">
        <f t="shared" ca="1" si="14"/>
        <v>Office Supplies</v>
      </c>
      <c r="M62" s="1" t="str">
        <f t="shared" ca="1" si="15"/>
        <v>Mobile</v>
      </c>
      <c r="N62" s="1" t="str">
        <f t="shared" ca="1" si="16"/>
        <v>Wireless Mouse</v>
      </c>
      <c r="O62" s="1">
        <f t="shared" ca="1" si="17"/>
        <v>30486</v>
      </c>
      <c r="P62" s="1">
        <f t="shared" ca="1" si="18"/>
        <v>3</v>
      </c>
      <c r="Q62" s="19">
        <f t="shared" ca="1" si="19"/>
        <v>0.1</v>
      </c>
      <c r="R62" s="1">
        <f t="shared" ca="1" si="20"/>
        <v>2438.8799999999997</v>
      </c>
      <c r="S62" s="1">
        <f t="shared" ca="1" si="2"/>
        <v>2</v>
      </c>
      <c r="T62" s="19">
        <f t="shared" ca="1" si="3"/>
        <v>7.9999999999999988E-2</v>
      </c>
      <c r="U62" s="1" t="str">
        <f t="shared" ca="1" si="4"/>
        <v>Low Discount</v>
      </c>
    </row>
    <row r="63" spans="1:21" ht="15.6" customHeight="1" x14ac:dyDescent="0.3">
      <c r="A63" s="1" t="str">
        <f t="shared" si="0"/>
        <v>ORD-62</v>
      </c>
      <c r="B63" s="10">
        <f t="shared" ca="1" si="5"/>
        <v>45536</v>
      </c>
      <c r="C63" s="7">
        <f t="shared" ca="1" si="1"/>
        <v>45538</v>
      </c>
      <c r="D63" s="1" t="str">
        <f t="shared" ca="1" si="6"/>
        <v>Same Day</v>
      </c>
      <c r="E63" s="1" t="str">
        <f t="shared" ca="1" si="7"/>
        <v>CU-996</v>
      </c>
      <c r="F63" s="1" t="str">
        <f t="shared" ca="1" si="8"/>
        <v>Priya Singh</v>
      </c>
      <c r="G63" s="1" t="str">
        <f t="shared" ca="1" si="9"/>
        <v>Home Office</v>
      </c>
      <c r="H63" s="1" t="str">
        <f t="shared" si="10"/>
        <v>India</v>
      </c>
      <c r="I63" s="1" t="str">
        <f t="shared" ca="1" si="11"/>
        <v>West</v>
      </c>
      <c r="J63" s="1" t="str">
        <f t="shared" ca="1" si="12"/>
        <v>Gujarat</v>
      </c>
      <c r="K63" s="1" t="str">
        <f t="shared" ca="1" si="13"/>
        <v>Ahmedabad</v>
      </c>
      <c r="L63" s="1" t="str">
        <f t="shared" ca="1" si="14"/>
        <v>Furniture</v>
      </c>
      <c r="M63" s="1" t="str">
        <f t="shared" ca="1" si="15"/>
        <v>Chair</v>
      </c>
      <c r="N63" s="1" t="str">
        <f t="shared" ca="1" si="16"/>
        <v>A4 Paper</v>
      </c>
      <c r="O63" s="1">
        <f t="shared" ca="1" si="17"/>
        <v>20493</v>
      </c>
      <c r="P63" s="1">
        <f t="shared" ca="1" si="18"/>
        <v>6</v>
      </c>
      <c r="Q63" s="19">
        <f t="shared" ca="1" si="19"/>
        <v>0.2</v>
      </c>
      <c r="R63" s="1">
        <f t="shared" ca="1" si="20"/>
        <v>-409.86000000000035</v>
      </c>
      <c r="S63" s="1">
        <f t="shared" ca="1" si="2"/>
        <v>2</v>
      </c>
      <c r="T63" s="19">
        <f t="shared" ca="1" si="3"/>
        <v>-2.0000000000000018E-2</v>
      </c>
      <c r="U63" s="1" t="str">
        <f t="shared" ca="1" si="4"/>
        <v>High Discount</v>
      </c>
    </row>
    <row r="64" spans="1:21" ht="15.6" customHeight="1" x14ac:dyDescent="0.3">
      <c r="A64" s="1" t="str">
        <f t="shared" si="0"/>
        <v>ORD-63</v>
      </c>
      <c r="B64" s="10">
        <f t="shared" ca="1" si="5"/>
        <v>45471</v>
      </c>
      <c r="C64" s="7">
        <f t="shared" ca="1" si="1"/>
        <v>45473</v>
      </c>
      <c r="D64" s="1" t="str">
        <f t="shared" ca="1" si="6"/>
        <v>Same Day</v>
      </c>
      <c r="E64" s="1" t="str">
        <f t="shared" ca="1" si="7"/>
        <v>CU-851</v>
      </c>
      <c r="F64" s="1" t="str">
        <f t="shared" ca="1" si="8"/>
        <v>Priya Singh</v>
      </c>
      <c r="G64" s="1" t="str">
        <f t="shared" ca="1" si="9"/>
        <v>Corporate</v>
      </c>
      <c r="H64" s="1" t="str">
        <f t="shared" si="10"/>
        <v>India</v>
      </c>
      <c r="I64" s="1" t="str">
        <f t="shared" ca="1" si="11"/>
        <v>South</v>
      </c>
      <c r="J64" s="1" t="str">
        <f t="shared" ca="1" si="12"/>
        <v>West Bengal</v>
      </c>
      <c r="K64" s="1" t="str">
        <f t="shared" ca="1" si="13"/>
        <v>Bangalore</v>
      </c>
      <c r="L64" s="1" t="str">
        <f t="shared" ca="1" si="14"/>
        <v>Office Supplies</v>
      </c>
      <c r="M64" s="1" t="str">
        <f t="shared" ca="1" si="15"/>
        <v>Table</v>
      </c>
      <c r="N64" s="1" t="str">
        <f t="shared" ca="1" si="16"/>
        <v>HP Pavilion</v>
      </c>
      <c r="O64" s="1">
        <f t="shared" ca="1" si="17"/>
        <v>54585</v>
      </c>
      <c r="P64" s="1">
        <f t="shared" ca="1" si="18"/>
        <v>7</v>
      </c>
      <c r="Q64" s="19">
        <f t="shared" ca="1" si="19"/>
        <v>0.05</v>
      </c>
      <c r="R64" s="1">
        <f t="shared" ca="1" si="20"/>
        <v>7096.05</v>
      </c>
      <c r="S64" s="1">
        <f t="shared" ca="1" si="2"/>
        <v>2</v>
      </c>
      <c r="T64" s="19">
        <f t="shared" ca="1" si="3"/>
        <v>0.13</v>
      </c>
      <c r="U64" s="1" t="str">
        <f t="shared" ca="1" si="4"/>
        <v>Low Discount</v>
      </c>
    </row>
    <row r="65" spans="1:21" ht="15.6" customHeight="1" x14ac:dyDescent="0.3">
      <c r="A65" s="1" t="str">
        <f t="shared" si="0"/>
        <v>ORD-64</v>
      </c>
      <c r="B65" s="10">
        <f t="shared" ca="1" si="5"/>
        <v>45297</v>
      </c>
      <c r="C65" s="7">
        <f t="shared" ca="1" si="1"/>
        <v>45302</v>
      </c>
      <c r="D65" s="1" t="str">
        <f t="shared" ca="1" si="6"/>
        <v>Second Class</v>
      </c>
      <c r="E65" s="1" t="str">
        <f t="shared" ca="1" si="7"/>
        <v>CU-494</v>
      </c>
      <c r="F65" s="1" t="str">
        <f t="shared" ca="1" si="8"/>
        <v>Pooja Yadav</v>
      </c>
      <c r="G65" s="1" t="str">
        <f t="shared" ca="1" si="9"/>
        <v>Consumer</v>
      </c>
      <c r="H65" s="1" t="str">
        <f t="shared" si="10"/>
        <v>India</v>
      </c>
      <c r="I65" s="1" t="str">
        <f t="shared" ca="1" si="11"/>
        <v>East</v>
      </c>
      <c r="J65" s="1" t="str">
        <f t="shared" ca="1" si="12"/>
        <v>Delhi</v>
      </c>
      <c r="K65" s="1" t="str">
        <f t="shared" ca="1" si="13"/>
        <v>Chennai</v>
      </c>
      <c r="L65" s="1" t="str">
        <f t="shared" ca="1" si="14"/>
        <v>Technology</v>
      </c>
      <c r="M65" s="1" t="str">
        <f t="shared" ca="1" si="15"/>
        <v>Mobile</v>
      </c>
      <c r="N65" s="1" t="str">
        <f t="shared" ca="1" si="16"/>
        <v>A4 Paper</v>
      </c>
      <c r="O65" s="1">
        <f t="shared" ca="1" si="17"/>
        <v>6451</v>
      </c>
      <c r="P65" s="1">
        <f t="shared" ca="1" si="18"/>
        <v>8</v>
      </c>
      <c r="Q65" s="19">
        <f t="shared" ca="1" si="19"/>
        <v>0.05</v>
      </c>
      <c r="R65" s="1">
        <f t="shared" ca="1" si="20"/>
        <v>838.63</v>
      </c>
      <c r="S65" s="1">
        <f t="shared" ca="1" si="2"/>
        <v>5</v>
      </c>
      <c r="T65" s="19">
        <f t="shared" ca="1" si="3"/>
        <v>0.13</v>
      </c>
      <c r="U65" s="1" t="str">
        <f t="shared" ca="1" si="4"/>
        <v>Low Discount</v>
      </c>
    </row>
    <row r="66" spans="1:21" ht="15.6" customHeight="1" x14ac:dyDescent="0.3">
      <c r="A66" s="1" t="str">
        <f t="shared" ref="A66:A129" si="21">"ORD-"&amp;(ROW()-1)</f>
        <v>ORD-65</v>
      </c>
      <c r="B66" s="10">
        <f t="shared" ref="B66:B129" ca="1" si="22">DATE(2024,1,1)+RANDBETWEEN(1,365)</f>
        <v>45349</v>
      </c>
      <c r="C66" s="7">
        <f t="shared" ref="C66:C129" ca="1" si="23">B66+RANDBETWEEN(0,5)</f>
        <v>45349</v>
      </c>
      <c r="D66" s="1" t="str">
        <f t="shared" ca="1" si="6"/>
        <v>Second Class</v>
      </c>
      <c r="E66" s="1" t="str">
        <f t="shared" ca="1" si="7"/>
        <v>CU-791</v>
      </c>
      <c r="F66" s="1" t="str">
        <f t="shared" ca="1" si="8"/>
        <v>Arjun Malhotra</v>
      </c>
      <c r="G66" s="1" t="str">
        <f t="shared" ca="1" si="9"/>
        <v>Home Office</v>
      </c>
      <c r="H66" s="1" t="str">
        <f t="shared" si="10"/>
        <v>India</v>
      </c>
      <c r="I66" s="1" t="str">
        <f t="shared" ca="1" si="11"/>
        <v>North</v>
      </c>
      <c r="J66" s="1" t="str">
        <f t="shared" ca="1" si="12"/>
        <v>Maharashtra</v>
      </c>
      <c r="K66" s="1" t="str">
        <f t="shared" ca="1" si="13"/>
        <v>Mumbai</v>
      </c>
      <c r="L66" s="1" t="str">
        <f t="shared" ca="1" si="14"/>
        <v>Furniture</v>
      </c>
      <c r="M66" s="1" t="str">
        <f t="shared" ca="1" si="15"/>
        <v>Table</v>
      </c>
      <c r="N66" s="1" t="str">
        <f t="shared" ca="1" si="16"/>
        <v>Office Chair</v>
      </c>
      <c r="O66" s="1">
        <f t="shared" ca="1" si="17"/>
        <v>27970</v>
      </c>
      <c r="P66" s="1">
        <f t="shared" ca="1" si="18"/>
        <v>6</v>
      </c>
      <c r="Q66" s="19">
        <f t="shared" ca="1" si="19"/>
        <v>0</v>
      </c>
      <c r="R66" s="1">
        <f t="shared" ca="1" si="20"/>
        <v>5034.5999999999995</v>
      </c>
      <c r="S66" s="1">
        <f t="shared" ref="S66:S129" ca="1" si="24">C66-B66</f>
        <v>0</v>
      </c>
      <c r="T66" s="19">
        <f t="shared" ref="T66:T129" ca="1" si="25">R66/O66</f>
        <v>0.18</v>
      </c>
      <c r="U66" s="1" t="str">
        <f t="shared" ref="U66:U129" ca="1" si="26">IF(Q66&gt;=0.2,"High Discount","Low Discount")</f>
        <v>Low Discount</v>
      </c>
    </row>
    <row r="67" spans="1:21" ht="15.6" customHeight="1" x14ac:dyDescent="0.3">
      <c r="A67" s="1" t="str">
        <f t="shared" si="21"/>
        <v>ORD-66</v>
      </c>
      <c r="B67" s="10">
        <f t="shared" ca="1" si="22"/>
        <v>45631</v>
      </c>
      <c r="C67" s="7">
        <f t="shared" ca="1" si="23"/>
        <v>45633</v>
      </c>
      <c r="D67" s="1" t="str">
        <f t="shared" ref="D67:D130" ca="1" si="27">CHOOSE(RANDBETWEEN(1,3),"Standard Class","Second Class","Same Day")</f>
        <v>Standard Class</v>
      </c>
      <c r="E67" s="1" t="str">
        <f t="shared" ref="E67:E130" ca="1" si="28">"CU-"&amp;RANDBETWEEN(100,999)</f>
        <v>CU-263</v>
      </c>
      <c r="F67" s="1" t="str">
        <f t="shared" ref="F67:F130" ca="1" si="29">CHOOSE(RANDBETWEEN(1,8),"Rahul Sharma","Amit Verma","Priya Singh","Sunil Kumar","Neha Gupta","Ravi Mehta","Pooja Yadav","Arjun Malhotra")</f>
        <v>Sunil Kumar</v>
      </c>
      <c r="G67" s="1" t="str">
        <f t="shared" ref="G67:G130" ca="1" si="30">CHOOSE(RANDBETWEEN(1,3),"Consumer","Corporate","Home Office")</f>
        <v>Corporate</v>
      </c>
      <c r="H67" s="1" t="str">
        <f t="shared" ref="H67:H130" si="31">"India"</f>
        <v>India</v>
      </c>
      <c r="I67" s="1" t="str">
        <f t="shared" ref="I67:I130" ca="1" si="32">CHOOSE(RANDBETWEEN(1,4),"North","South","East","West")</f>
        <v>East</v>
      </c>
      <c r="J67" s="1" t="str">
        <f t="shared" ref="J67:J130" ca="1" si="33">CHOOSE(RANDBETWEEN(1,6),"Delhi","Maharashtra","Karnataka","West Bengal","Gujarat","Tamil Nadu")</f>
        <v>Karnataka</v>
      </c>
      <c r="K67" s="1" t="str">
        <f t="shared" ref="K67:K130" ca="1" si="34">CHOOSE(RANDBETWEEN(1,6),"Delhi","Mumbai","Bangalore","Kolkata","Ahmedabad","Chennai")</f>
        <v>Chennai</v>
      </c>
      <c r="L67" s="1" t="str">
        <f t="shared" ref="L67:L130" ca="1" si="35">CHOOSE(RANDBETWEEN(1,3),"Technology","Furniture","Office Supplies")</f>
        <v>Technology</v>
      </c>
      <c r="M67" s="1" t="str">
        <f t="shared" ref="M67:M130" ca="1" si="36">CHOOSE(RANDBETWEEN(1,5),"Mobile","Laptop","Chair","Table","Paper")</f>
        <v>Paper</v>
      </c>
      <c r="N67" s="1" t="str">
        <f t="shared" ref="N67:N130" ca="1" si="37">CHOOSE(RANDBETWEEN(1,6),"Samsung Galaxy","HP Pavilion","Office Chair","Office Table","A4 Paper","Wireless Mouse")</f>
        <v>Office Table</v>
      </c>
      <c r="O67" s="1">
        <f t="shared" ref="O67:O130" ca="1" si="38">RANDBETWEEN(500,60000)</f>
        <v>10534</v>
      </c>
      <c r="P67" s="1">
        <f t="shared" ref="P67:P130" ca="1" si="39">RANDBETWEEN(1,10)</f>
        <v>6</v>
      </c>
      <c r="Q67" s="19">
        <f t="shared" ref="Q67:Q130" ca="1" si="40">CHOOSE(RANDBETWEEN(1,5),0,0.05,0.1,0.2,0.3)</f>
        <v>0.3</v>
      </c>
      <c r="R67" s="1">
        <f t="shared" ref="R67:R130" ca="1" si="41">O67*(0.18-Q67)</f>
        <v>-1264.08</v>
      </c>
      <c r="S67" s="1">
        <f t="shared" ca="1" si="24"/>
        <v>2</v>
      </c>
      <c r="T67" s="19">
        <f t="shared" ca="1" si="25"/>
        <v>-0.12</v>
      </c>
      <c r="U67" s="1" t="str">
        <f t="shared" ca="1" si="26"/>
        <v>High Discount</v>
      </c>
    </row>
    <row r="68" spans="1:21" ht="15.6" customHeight="1" x14ac:dyDescent="0.3">
      <c r="A68" s="1" t="str">
        <f t="shared" si="21"/>
        <v>ORD-67</v>
      </c>
      <c r="B68" s="10">
        <f t="shared" ca="1" si="22"/>
        <v>45375</v>
      </c>
      <c r="C68" s="7">
        <f t="shared" ca="1" si="23"/>
        <v>45380</v>
      </c>
      <c r="D68" s="1" t="str">
        <f t="shared" ca="1" si="27"/>
        <v>Standard Class</v>
      </c>
      <c r="E68" s="1" t="str">
        <f t="shared" ca="1" si="28"/>
        <v>CU-651</v>
      </c>
      <c r="F68" s="1" t="str">
        <f t="shared" ca="1" si="29"/>
        <v>Rahul Sharma</v>
      </c>
      <c r="G68" s="1" t="str">
        <f t="shared" ca="1" si="30"/>
        <v>Home Office</v>
      </c>
      <c r="H68" s="1" t="str">
        <f t="shared" si="31"/>
        <v>India</v>
      </c>
      <c r="I68" s="1" t="str">
        <f t="shared" ca="1" si="32"/>
        <v>South</v>
      </c>
      <c r="J68" s="1" t="str">
        <f t="shared" ca="1" si="33"/>
        <v>Gujarat</v>
      </c>
      <c r="K68" s="1" t="str">
        <f t="shared" ca="1" si="34"/>
        <v>Mumbai</v>
      </c>
      <c r="L68" s="1" t="str">
        <f t="shared" ca="1" si="35"/>
        <v>Office Supplies</v>
      </c>
      <c r="M68" s="1" t="str">
        <f t="shared" ca="1" si="36"/>
        <v>Table</v>
      </c>
      <c r="N68" s="1" t="str">
        <f t="shared" ca="1" si="37"/>
        <v>Samsung Galaxy</v>
      </c>
      <c r="O68" s="1">
        <f t="shared" ca="1" si="38"/>
        <v>11291</v>
      </c>
      <c r="P68" s="1">
        <f t="shared" ca="1" si="39"/>
        <v>3</v>
      </c>
      <c r="Q68" s="19">
        <f t="shared" ca="1" si="40"/>
        <v>0.2</v>
      </c>
      <c r="R68" s="1">
        <f t="shared" ca="1" si="41"/>
        <v>-225.82000000000019</v>
      </c>
      <c r="S68" s="1">
        <f t="shared" ca="1" si="24"/>
        <v>5</v>
      </c>
      <c r="T68" s="19">
        <f t="shared" ca="1" si="25"/>
        <v>-2.0000000000000018E-2</v>
      </c>
      <c r="U68" s="1" t="str">
        <f t="shared" ca="1" si="26"/>
        <v>High Discount</v>
      </c>
    </row>
    <row r="69" spans="1:21" ht="15.6" customHeight="1" x14ac:dyDescent="0.3">
      <c r="A69" s="1" t="str">
        <f t="shared" si="21"/>
        <v>ORD-68</v>
      </c>
      <c r="B69" s="10">
        <f t="shared" ca="1" si="22"/>
        <v>45404</v>
      </c>
      <c r="C69" s="7">
        <f t="shared" ca="1" si="23"/>
        <v>45406</v>
      </c>
      <c r="D69" s="1" t="str">
        <f t="shared" ca="1" si="27"/>
        <v>Second Class</v>
      </c>
      <c r="E69" s="1" t="str">
        <f t="shared" ca="1" si="28"/>
        <v>CU-952</v>
      </c>
      <c r="F69" s="1" t="str">
        <f t="shared" ca="1" si="29"/>
        <v>Arjun Malhotra</v>
      </c>
      <c r="G69" s="1" t="str">
        <f t="shared" ca="1" si="30"/>
        <v>Corporate</v>
      </c>
      <c r="H69" s="1" t="str">
        <f t="shared" si="31"/>
        <v>India</v>
      </c>
      <c r="I69" s="1" t="str">
        <f t="shared" ca="1" si="32"/>
        <v>East</v>
      </c>
      <c r="J69" s="1" t="str">
        <f t="shared" ca="1" si="33"/>
        <v>Delhi</v>
      </c>
      <c r="K69" s="1" t="str">
        <f t="shared" ca="1" si="34"/>
        <v>Bangalore</v>
      </c>
      <c r="L69" s="1" t="str">
        <f t="shared" ca="1" si="35"/>
        <v>Office Supplies</v>
      </c>
      <c r="M69" s="1" t="str">
        <f t="shared" ca="1" si="36"/>
        <v>Paper</v>
      </c>
      <c r="N69" s="1" t="str">
        <f t="shared" ca="1" si="37"/>
        <v>Office Chair</v>
      </c>
      <c r="O69" s="1">
        <f t="shared" ca="1" si="38"/>
        <v>29235</v>
      </c>
      <c r="P69" s="1">
        <f t="shared" ca="1" si="39"/>
        <v>6</v>
      </c>
      <c r="Q69" s="19">
        <f t="shared" ca="1" si="40"/>
        <v>0.1</v>
      </c>
      <c r="R69" s="1">
        <f t="shared" ca="1" si="41"/>
        <v>2338.7999999999997</v>
      </c>
      <c r="S69" s="1">
        <f t="shared" ca="1" si="24"/>
        <v>2</v>
      </c>
      <c r="T69" s="19">
        <f t="shared" ca="1" si="25"/>
        <v>7.9999999999999988E-2</v>
      </c>
      <c r="U69" s="1" t="str">
        <f t="shared" ca="1" si="26"/>
        <v>Low Discount</v>
      </c>
    </row>
    <row r="70" spans="1:21" ht="15.6" customHeight="1" x14ac:dyDescent="0.3">
      <c r="A70" s="1" t="str">
        <f t="shared" si="21"/>
        <v>ORD-69</v>
      </c>
      <c r="B70" s="10">
        <f t="shared" ca="1" si="22"/>
        <v>45342</v>
      </c>
      <c r="C70" s="7">
        <f t="shared" ca="1" si="23"/>
        <v>45347</v>
      </c>
      <c r="D70" s="1" t="str">
        <f t="shared" ca="1" si="27"/>
        <v>Second Class</v>
      </c>
      <c r="E70" s="1" t="str">
        <f t="shared" ca="1" si="28"/>
        <v>CU-397</v>
      </c>
      <c r="F70" s="1" t="str">
        <f t="shared" ca="1" si="29"/>
        <v>Ravi Mehta</v>
      </c>
      <c r="G70" s="1" t="str">
        <f t="shared" ca="1" si="30"/>
        <v>Consumer</v>
      </c>
      <c r="H70" s="1" t="str">
        <f t="shared" si="31"/>
        <v>India</v>
      </c>
      <c r="I70" s="1" t="str">
        <f t="shared" ca="1" si="32"/>
        <v>East</v>
      </c>
      <c r="J70" s="1" t="str">
        <f t="shared" ca="1" si="33"/>
        <v>Maharashtra</v>
      </c>
      <c r="K70" s="1" t="str">
        <f t="shared" ca="1" si="34"/>
        <v>Delhi</v>
      </c>
      <c r="L70" s="1" t="str">
        <f t="shared" ca="1" si="35"/>
        <v>Furniture</v>
      </c>
      <c r="M70" s="1" t="str">
        <f t="shared" ca="1" si="36"/>
        <v>Chair</v>
      </c>
      <c r="N70" s="1" t="str">
        <f t="shared" ca="1" si="37"/>
        <v>Office Table</v>
      </c>
      <c r="O70" s="1">
        <f t="shared" ca="1" si="38"/>
        <v>10088</v>
      </c>
      <c r="P70" s="1">
        <f t="shared" ca="1" si="39"/>
        <v>2</v>
      </c>
      <c r="Q70" s="19">
        <f t="shared" ca="1" si="40"/>
        <v>0.2</v>
      </c>
      <c r="R70" s="1">
        <f t="shared" ca="1" si="41"/>
        <v>-201.76000000000019</v>
      </c>
      <c r="S70" s="1">
        <f t="shared" ca="1" si="24"/>
        <v>5</v>
      </c>
      <c r="T70" s="19">
        <f t="shared" ca="1" si="25"/>
        <v>-2.0000000000000018E-2</v>
      </c>
      <c r="U70" s="1" t="str">
        <f t="shared" ca="1" si="26"/>
        <v>High Discount</v>
      </c>
    </row>
    <row r="71" spans="1:21" ht="15.6" customHeight="1" x14ac:dyDescent="0.3">
      <c r="A71" s="1" t="str">
        <f t="shared" si="21"/>
        <v>ORD-70</v>
      </c>
      <c r="B71" s="10">
        <f t="shared" ca="1" si="22"/>
        <v>45372</v>
      </c>
      <c r="C71" s="7">
        <f t="shared" ca="1" si="23"/>
        <v>45373</v>
      </c>
      <c r="D71" s="1" t="str">
        <f t="shared" ca="1" si="27"/>
        <v>Same Day</v>
      </c>
      <c r="E71" s="1" t="str">
        <f t="shared" ca="1" si="28"/>
        <v>CU-958</v>
      </c>
      <c r="F71" s="1" t="str">
        <f t="shared" ca="1" si="29"/>
        <v>Priya Singh</v>
      </c>
      <c r="G71" s="1" t="str">
        <f t="shared" ca="1" si="30"/>
        <v>Home Office</v>
      </c>
      <c r="H71" s="1" t="str">
        <f t="shared" si="31"/>
        <v>India</v>
      </c>
      <c r="I71" s="1" t="str">
        <f t="shared" ca="1" si="32"/>
        <v>South</v>
      </c>
      <c r="J71" s="1" t="str">
        <f t="shared" ca="1" si="33"/>
        <v>Tamil Nadu</v>
      </c>
      <c r="K71" s="1" t="str">
        <f t="shared" ca="1" si="34"/>
        <v>Ahmedabad</v>
      </c>
      <c r="L71" s="1" t="str">
        <f t="shared" ca="1" si="35"/>
        <v>Furniture</v>
      </c>
      <c r="M71" s="1" t="str">
        <f t="shared" ca="1" si="36"/>
        <v>Paper</v>
      </c>
      <c r="N71" s="1" t="str">
        <f t="shared" ca="1" si="37"/>
        <v>Wireless Mouse</v>
      </c>
      <c r="O71" s="1">
        <f t="shared" ca="1" si="38"/>
        <v>36557</v>
      </c>
      <c r="P71" s="1">
        <f t="shared" ca="1" si="39"/>
        <v>2</v>
      </c>
      <c r="Q71" s="19">
        <f t="shared" ca="1" si="40"/>
        <v>0.1</v>
      </c>
      <c r="R71" s="1">
        <f t="shared" ca="1" si="41"/>
        <v>2924.5599999999995</v>
      </c>
      <c r="S71" s="1">
        <f t="shared" ca="1" si="24"/>
        <v>1</v>
      </c>
      <c r="T71" s="19">
        <f t="shared" ca="1" si="25"/>
        <v>7.9999999999999988E-2</v>
      </c>
      <c r="U71" s="1" t="str">
        <f t="shared" ca="1" si="26"/>
        <v>Low Discount</v>
      </c>
    </row>
    <row r="72" spans="1:21" ht="15.6" customHeight="1" x14ac:dyDescent="0.3">
      <c r="A72" s="1" t="str">
        <f t="shared" si="21"/>
        <v>ORD-71</v>
      </c>
      <c r="B72" s="10">
        <f t="shared" ca="1" si="22"/>
        <v>45492</v>
      </c>
      <c r="C72" s="7">
        <f t="shared" ca="1" si="23"/>
        <v>45494</v>
      </c>
      <c r="D72" s="1" t="str">
        <f t="shared" ca="1" si="27"/>
        <v>Same Day</v>
      </c>
      <c r="E72" s="1" t="str">
        <f t="shared" ca="1" si="28"/>
        <v>CU-928</v>
      </c>
      <c r="F72" s="1" t="str">
        <f t="shared" ca="1" si="29"/>
        <v>Priya Singh</v>
      </c>
      <c r="G72" s="1" t="str">
        <f t="shared" ca="1" si="30"/>
        <v>Consumer</v>
      </c>
      <c r="H72" s="1" t="str">
        <f t="shared" si="31"/>
        <v>India</v>
      </c>
      <c r="I72" s="1" t="str">
        <f t="shared" ca="1" si="32"/>
        <v>East</v>
      </c>
      <c r="J72" s="1" t="str">
        <f t="shared" ca="1" si="33"/>
        <v>Maharashtra</v>
      </c>
      <c r="K72" s="1" t="str">
        <f t="shared" ca="1" si="34"/>
        <v>Ahmedabad</v>
      </c>
      <c r="L72" s="1" t="str">
        <f t="shared" ca="1" si="35"/>
        <v>Office Supplies</v>
      </c>
      <c r="M72" s="1" t="str">
        <f t="shared" ca="1" si="36"/>
        <v>Paper</v>
      </c>
      <c r="N72" s="1" t="str">
        <f t="shared" ca="1" si="37"/>
        <v>A4 Paper</v>
      </c>
      <c r="O72" s="1">
        <f t="shared" ca="1" si="38"/>
        <v>38111</v>
      </c>
      <c r="P72" s="1">
        <f t="shared" ca="1" si="39"/>
        <v>5</v>
      </c>
      <c r="Q72" s="19">
        <f t="shared" ca="1" si="40"/>
        <v>0.1</v>
      </c>
      <c r="R72" s="1">
        <f t="shared" ca="1" si="41"/>
        <v>3048.8799999999997</v>
      </c>
      <c r="S72" s="1">
        <f t="shared" ca="1" si="24"/>
        <v>2</v>
      </c>
      <c r="T72" s="19">
        <f t="shared" ca="1" si="25"/>
        <v>7.9999999999999988E-2</v>
      </c>
      <c r="U72" s="1" t="str">
        <f t="shared" ca="1" si="26"/>
        <v>Low Discount</v>
      </c>
    </row>
    <row r="73" spans="1:21" ht="15.6" customHeight="1" x14ac:dyDescent="0.3">
      <c r="A73" s="1" t="str">
        <f t="shared" si="21"/>
        <v>ORD-72</v>
      </c>
      <c r="B73" s="10">
        <f t="shared" ca="1" si="22"/>
        <v>45509</v>
      </c>
      <c r="C73" s="7">
        <f t="shared" ca="1" si="23"/>
        <v>45510</v>
      </c>
      <c r="D73" s="1" t="str">
        <f t="shared" ca="1" si="27"/>
        <v>Second Class</v>
      </c>
      <c r="E73" s="1" t="str">
        <f t="shared" ca="1" si="28"/>
        <v>CU-634</v>
      </c>
      <c r="F73" s="1" t="str">
        <f t="shared" ca="1" si="29"/>
        <v>Pooja Yadav</v>
      </c>
      <c r="G73" s="1" t="str">
        <f t="shared" ca="1" si="30"/>
        <v>Corporate</v>
      </c>
      <c r="H73" s="1" t="str">
        <f t="shared" si="31"/>
        <v>India</v>
      </c>
      <c r="I73" s="1" t="str">
        <f t="shared" ca="1" si="32"/>
        <v>West</v>
      </c>
      <c r="J73" s="1" t="str">
        <f t="shared" ca="1" si="33"/>
        <v>West Bengal</v>
      </c>
      <c r="K73" s="1" t="str">
        <f t="shared" ca="1" si="34"/>
        <v>Delhi</v>
      </c>
      <c r="L73" s="1" t="str">
        <f t="shared" ca="1" si="35"/>
        <v>Furniture</v>
      </c>
      <c r="M73" s="1" t="str">
        <f t="shared" ca="1" si="36"/>
        <v>Table</v>
      </c>
      <c r="N73" s="1" t="str">
        <f t="shared" ca="1" si="37"/>
        <v>Office Table</v>
      </c>
      <c r="O73" s="1">
        <f t="shared" ca="1" si="38"/>
        <v>51939</v>
      </c>
      <c r="P73" s="1">
        <f t="shared" ca="1" si="39"/>
        <v>10</v>
      </c>
      <c r="Q73" s="19">
        <f t="shared" ca="1" si="40"/>
        <v>0</v>
      </c>
      <c r="R73" s="1">
        <f t="shared" ca="1" si="41"/>
        <v>9349.02</v>
      </c>
      <c r="S73" s="1">
        <f t="shared" ca="1" si="24"/>
        <v>1</v>
      </c>
      <c r="T73" s="19">
        <f t="shared" ca="1" si="25"/>
        <v>0.18000000000000002</v>
      </c>
      <c r="U73" s="1" t="str">
        <f t="shared" ca="1" si="26"/>
        <v>Low Discount</v>
      </c>
    </row>
    <row r="74" spans="1:21" ht="15.6" customHeight="1" x14ac:dyDescent="0.3">
      <c r="A74" s="1" t="str">
        <f t="shared" si="21"/>
        <v>ORD-73</v>
      </c>
      <c r="B74" s="10">
        <f t="shared" ca="1" si="22"/>
        <v>45331</v>
      </c>
      <c r="C74" s="7">
        <f t="shared" ca="1" si="23"/>
        <v>45334</v>
      </c>
      <c r="D74" s="1" t="str">
        <f t="shared" ca="1" si="27"/>
        <v>Same Day</v>
      </c>
      <c r="E74" s="1" t="str">
        <f t="shared" ca="1" si="28"/>
        <v>CU-412</v>
      </c>
      <c r="F74" s="1" t="str">
        <f t="shared" ca="1" si="29"/>
        <v>Sunil Kumar</v>
      </c>
      <c r="G74" s="1" t="str">
        <f t="shared" ca="1" si="30"/>
        <v>Home Office</v>
      </c>
      <c r="H74" s="1" t="str">
        <f t="shared" si="31"/>
        <v>India</v>
      </c>
      <c r="I74" s="1" t="str">
        <f t="shared" ca="1" si="32"/>
        <v>West</v>
      </c>
      <c r="J74" s="1" t="str">
        <f t="shared" ca="1" si="33"/>
        <v>Tamil Nadu</v>
      </c>
      <c r="K74" s="1" t="str">
        <f t="shared" ca="1" si="34"/>
        <v>Mumbai</v>
      </c>
      <c r="L74" s="1" t="str">
        <f t="shared" ca="1" si="35"/>
        <v>Office Supplies</v>
      </c>
      <c r="M74" s="1" t="str">
        <f t="shared" ca="1" si="36"/>
        <v>Laptop</v>
      </c>
      <c r="N74" s="1" t="str">
        <f t="shared" ca="1" si="37"/>
        <v>Office Chair</v>
      </c>
      <c r="O74" s="1">
        <f t="shared" ca="1" si="38"/>
        <v>28702</v>
      </c>
      <c r="P74" s="1">
        <f t="shared" ca="1" si="39"/>
        <v>8</v>
      </c>
      <c r="Q74" s="19">
        <f t="shared" ca="1" si="40"/>
        <v>0</v>
      </c>
      <c r="R74" s="1">
        <f t="shared" ca="1" si="41"/>
        <v>5166.3599999999997</v>
      </c>
      <c r="S74" s="1">
        <f t="shared" ca="1" si="24"/>
        <v>3</v>
      </c>
      <c r="T74" s="19">
        <f t="shared" ca="1" si="25"/>
        <v>0.18</v>
      </c>
      <c r="U74" s="1" t="str">
        <f t="shared" ca="1" si="26"/>
        <v>Low Discount</v>
      </c>
    </row>
    <row r="75" spans="1:21" ht="15.6" customHeight="1" x14ac:dyDescent="0.3">
      <c r="A75" s="1" t="str">
        <f t="shared" si="21"/>
        <v>ORD-74</v>
      </c>
      <c r="B75" s="10">
        <f t="shared" ca="1" si="22"/>
        <v>45567</v>
      </c>
      <c r="C75" s="7">
        <f t="shared" ca="1" si="23"/>
        <v>45569</v>
      </c>
      <c r="D75" s="1" t="str">
        <f t="shared" ca="1" si="27"/>
        <v>Second Class</v>
      </c>
      <c r="E75" s="1" t="str">
        <f t="shared" ca="1" si="28"/>
        <v>CU-881</v>
      </c>
      <c r="F75" s="1" t="str">
        <f t="shared" ca="1" si="29"/>
        <v>Priya Singh</v>
      </c>
      <c r="G75" s="1" t="str">
        <f t="shared" ca="1" si="30"/>
        <v>Corporate</v>
      </c>
      <c r="H75" s="1" t="str">
        <f t="shared" si="31"/>
        <v>India</v>
      </c>
      <c r="I75" s="1" t="str">
        <f t="shared" ca="1" si="32"/>
        <v>East</v>
      </c>
      <c r="J75" s="1" t="str">
        <f t="shared" ca="1" si="33"/>
        <v>West Bengal</v>
      </c>
      <c r="K75" s="1" t="str">
        <f t="shared" ca="1" si="34"/>
        <v>Mumbai</v>
      </c>
      <c r="L75" s="1" t="str">
        <f t="shared" ca="1" si="35"/>
        <v>Office Supplies</v>
      </c>
      <c r="M75" s="1" t="str">
        <f t="shared" ca="1" si="36"/>
        <v>Paper</v>
      </c>
      <c r="N75" s="1" t="str">
        <f t="shared" ca="1" si="37"/>
        <v>A4 Paper</v>
      </c>
      <c r="O75" s="1">
        <f t="shared" ca="1" si="38"/>
        <v>18582</v>
      </c>
      <c r="P75" s="1">
        <f t="shared" ca="1" si="39"/>
        <v>10</v>
      </c>
      <c r="Q75" s="19">
        <f t="shared" ca="1" si="40"/>
        <v>0.1</v>
      </c>
      <c r="R75" s="1">
        <f t="shared" ca="1" si="41"/>
        <v>1486.5599999999997</v>
      </c>
      <c r="S75" s="1">
        <f t="shared" ca="1" si="24"/>
        <v>2</v>
      </c>
      <c r="T75" s="19">
        <f t="shared" ca="1" si="25"/>
        <v>7.9999999999999988E-2</v>
      </c>
      <c r="U75" s="1" t="str">
        <f t="shared" ca="1" si="26"/>
        <v>Low Discount</v>
      </c>
    </row>
    <row r="76" spans="1:21" ht="15.6" customHeight="1" x14ac:dyDescent="0.3">
      <c r="A76" s="1" t="str">
        <f t="shared" si="21"/>
        <v>ORD-75</v>
      </c>
      <c r="B76" s="10">
        <f t="shared" ca="1" si="22"/>
        <v>45599</v>
      </c>
      <c r="C76" s="7">
        <f t="shared" ca="1" si="23"/>
        <v>45600</v>
      </c>
      <c r="D76" s="1" t="str">
        <f t="shared" ca="1" si="27"/>
        <v>Standard Class</v>
      </c>
      <c r="E76" s="1" t="str">
        <f t="shared" ca="1" si="28"/>
        <v>CU-160</v>
      </c>
      <c r="F76" s="1" t="str">
        <f t="shared" ca="1" si="29"/>
        <v>Neha Gupta</v>
      </c>
      <c r="G76" s="1" t="str">
        <f t="shared" ca="1" si="30"/>
        <v>Corporate</v>
      </c>
      <c r="H76" s="1" t="str">
        <f t="shared" si="31"/>
        <v>India</v>
      </c>
      <c r="I76" s="1" t="str">
        <f t="shared" ca="1" si="32"/>
        <v>East</v>
      </c>
      <c r="J76" s="1" t="str">
        <f t="shared" ca="1" si="33"/>
        <v>Gujarat</v>
      </c>
      <c r="K76" s="1" t="str">
        <f t="shared" ca="1" si="34"/>
        <v>Bangalore</v>
      </c>
      <c r="L76" s="1" t="str">
        <f t="shared" ca="1" si="35"/>
        <v>Technology</v>
      </c>
      <c r="M76" s="1" t="str">
        <f t="shared" ca="1" si="36"/>
        <v>Mobile</v>
      </c>
      <c r="N76" s="1" t="str">
        <f t="shared" ca="1" si="37"/>
        <v>Office Table</v>
      </c>
      <c r="O76" s="1">
        <f t="shared" ca="1" si="38"/>
        <v>30705</v>
      </c>
      <c r="P76" s="1">
        <f t="shared" ca="1" si="39"/>
        <v>9</v>
      </c>
      <c r="Q76" s="19">
        <f t="shared" ca="1" si="40"/>
        <v>0</v>
      </c>
      <c r="R76" s="1">
        <f t="shared" ca="1" si="41"/>
        <v>5526.9</v>
      </c>
      <c r="S76" s="1">
        <f t="shared" ca="1" si="24"/>
        <v>1</v>
      </c>
      <c r="T76" s="19">
        <f t="shared" ca="1" si="25"/>
        <v>0.18</v>
      </c>
      <c r="U76" s="1" t="str">
        <f t="shared" ca="1" si="26"/>
        <v>Low Discount</v>
      </c>
    </row>
    <row r="77" spans="1:21" ht="15.6" customHeight="1" x14ac:dyDescent="0.3">
      <c r="A77" s="1" t="str">
        <f t="shared" si="21"/>
        <v>ORD-76</v>
      </c>
      <c r="B77" s="10">
        <f t="shared" ca="1" si="22"/>
        <v>45583</v>
      </c>
      <c r="C77" s="7">
        <f t="shared" ca="1" si="23"/>
        <v>45583</v>
      </c>
      <c r="D77" s="1" t="str">
        <f t="shared" ca="1" si="27"/>
        <v>Second Class</v>
      </c>
      <c r="E77" s="1" t="str">
        <f t="shared" ca="1" si="28"/>
        <v>CU-315</v>
      </c>
      <c r="F77" s="1" t="str">
        <f t="shared" ca="1" si="29"/>
        <v>Ravi Mehta</v>
      </c>
      <c r="G77" s="1" t="str">
        <f t="shared" ca="1" si="30"/>
        <v>Home Office</v>
      </c>
      <c r="H77" s="1" t="str">
        <f t="shared" si="31"/>
        <v>India</v>
      </c>
      <c r="I77" s="1" t="str">
        <f t="shared" ca="1" si="32"/>
        <v>South</v>
      </c>
      <c r="J77" s="1" t="str">
        <f t="shared" ca="1" si="33"/>
        <v>Maharashtra</v>
      </c>
      <c r="K77" s="1" t="str">
        <f t="shared" ca="1" si="34"/>
        <v>Chennai</v>
      </c>
      <c r="L77" s="1" t="str">
        <f t="shared" ca="1" si="35"/>
        <v>Technology</v>
      </c>
      <c r="M77" s="1" t="str">
        <f t="shared" ca="1" si="36"/>
        <v>Table</v>
      </c>
      <c r="N77" s="1" t="str">
        <f t="shared" ca="1" si="37"/>
        <v>Office Table</v>
      </c>
      <c r="O77" s="1">
        <f t="shared" ca="1" si="38"/>
        <v>3180</v>
      </c>
      <c r="P77" s="1">
        <f t="shared" ca="1" si="39"/>
        <v>7</v>
      </c>
      <c r="Q77" s="19">
        <f t="shared" ca="1" si="40"/>
        <v>0.3</v>
      </c>
      <c r="R77" s="1">
        <f t="shared" ca="1" si="41"/>
        <v>-381.59999999999997</v>
      </c>
      <c r="S77" s="1">
        <f t="shared" ca="1" si="24"/>
        <v>0</v>
      </c>
      <c r="T77" s="19">
        <f t="shared" ca="1" si="25"/>
        <v>-0.12</v>
      </c>
      <c r="U77" s="1" t="str">
        <f t="shared" ca="1" si="26"/>
        <v>High Discount</v>
      </c>
    </row>
    <row r="78" spans="1:21" ht="15.6" customHeight="1" x14ac:dyDescent="0.3">
      <c r="A78" s="1" t="str">
        <f t="shared" si="21"/>
        <v>ORD-77</v>
      </c>
      <c r="B78" s="10">
        <f t="shared" ca="1" si="22"/>
        <v>45331</v>
      </c>
      <c r="C78" s="7">
        <f t="shared" ca="1" si="23"/>
        <v>45332</v>
      </c>
      <c r="D78" s="1" t="str">
        <f t="shared" ca="1" si="27"/>
        <v>Same Day</v>
      </c>
      <c r="E78" s="1" t="str">
        <f t="shared" ca="1" si="28"/>
        <v>CU-871</v>
      </c>
      <c r="F78" s="1" t="str">
        <f t="shared" ca="1" si="29"/>
        <v>Amit Verma</v>
      </c>
      <c r="G78" s="1" t="str">
        <f t="shared" ca="1" si="30"/>
        <v>Home Office</v>
      </c>
      <c r="H78" s="1" t="str">
        <f t="shared" si="31"/>
        <v>India</v>
      </c>
      <c r="I78" s="1" t="str">
        <f t="shared" ca="1" si="32"/>
        <v>North</v>
      </c>
      <c r="J78" s="1" t="str">
        <f t="shared" ca="1" si="33"/>
        <v>Maharashtra</v>
      </c>
      <c r="K78" s="1" t="str">
        <f t="shared" ca="1" si="34"/>
        <v>Bangalore</v>
      </c>
      <c r="L78" s="1" t="str">
        <f t="shared" ca="1" si="35"/>
        <v>Technology</v>
      </c>
      <c r="M78" s="1" t="str">
        <f t="shared" ca="1" si="36"/>
        <v>Paper</v>
      </c>
      <c r="N78" s="1" t="str">
        <f t="shared" ca="1" si="37"/>
        <v>Office Table</v>
      </c>
      <c r="O78" s="1">
        <f t="shared" ca="1" si="38"/>
        <v>56998</v>
      </c>
      <c r="P78" s="1">
        <f t="shared" ca="1" si="39"/>
        <v>6</v>
      </c>
      <c r="Q78" s="19">
        <f t="shared" ca="1" si="40"/>
        <v>0.2</v>
      </c>
      <c r="R78" s="1">
        <f t="shared" ca="1" si="41"/>
        <v>-1139.9600000000009</v>
      </c>
      <c r="S78" s="1">
        <f t="shared" ca="1" si="24"/>
        <v>1</v>
      </c>
      <c r="T78" s="19">
        <f t="shared" ca="1" si="25"/>
        <v>-2.0000000000000018E-2</v>
      </c>
      <c r="U78" s="1" t="str">
        <f t="shared" ca="1" si="26"/>
        <v>High Discount</v>
      </c>
    </row>
    <row r="79" spans="1:21" ht="15.6" customHeight="1" x14ac:dyDescent="0.3">
      <c r="A79" s="1" t="str">
        <f t="shared" si="21"/>
        <v>ORD-78</v>
      </c>
      <c r="B79" s="10">
        <f t="shared" ca="1" si="22"/>
        <v>45384</v>
      </c>
      <c r="C79" s="7">
        <f t="shared" ca="1" si="23"/>
        <v>45384</v>
      </c>
      <c r="D79" s="1" t="str">
        <f t="shared" ca="1" si="27"/>
        <v>Second Class</v>
      </c>
      <c r="E79" s="1" t="str">
        <f t="shared" ca="1" si="28"/>
        <v>CU-596</v>
      </c>
      <c r="F79" s="1" t="str">
        <f t="shared" ca="1" si="29"/>
        <v>Sunil Kumar</v>
      </c>
      <c r="G79" s="1" t="str">
        <f t="shared" ca="1" si="30"/>
        <v>Consumer</v>
      </c>
      <c r="H79" s="1" t="str">
        <f t="shared" si="31"/>
        <v>India</v>
      </c>
      <c r="I79" s="1" t="str">
        <f t="shared" ca="1" si="32"/>
        <v>South</v>
      </c>
      <c r="J79" s="1" t="str">
        <f t="shared" ca="1" si="33"/>
        <v>Tamil Nadu</v>
      </c>
      <c r="K79" s="1" t="str">
        <f t="shared" ca="1" si="34"/>
        <v>Delhi</v>
      </c>
      <c r="L79" s="1" t="str">
        <f t="shared" ca="1" si="35"/>
        <v>Furniture</v>
      </c>
      <c r="M79" s="1" t="str">
        <f t="shared" ca="1" si="36"/>
        <v>Mobile</v>
      </c>
      <c r="N79" s="1" t="str">
        <f t="shared" ca="1" si="37"/>
        <v>Wireless Mouse</v>
      </c>
      <c r="O79" s="1">
        <f t="shared" ca="1" si="38"/>
        <v>43310</v>
      </c>
      <c r="P79" s="1">
        <f t="shared" ca="1" si="39"/>
        <v>6</v>
      </c>
      <c r="Q79" s="19">
        <f t="shared" ca="1" si="40"/>
        <v>0.05</v>
      </c>
      <c r="R79" s="1">
        <f t="shared" ca="1" si="41"/>
        <v>5630.3</v>
      </c>
      <c r="S79" s="1">
        <f t="shared" ca="1" si="24"/>
        <v>0</v>
      </c>
      <c r="T79" s="19">
        <f t="shared" ca="1" si="25"/>
        <v>0.13</v>
      </c>
      <c r="U79" s="1" t="str">
        <f t="shared" ca="1" si="26"/>
        <v>Low Discount</v>
      </c>
    </row>
    <row r="80" spans="1:21" ht="15.6" customHeight="1" x14ac:dyDescent="0.3">
      <c r="A80" s="1" t="str">
        <f t="shared" si="21"/>
        <v>ORD-79</v>
      </c>
      <c r="B80" s="10">
        <f t="shared" ca="1" si="22"/>
        <v>45418</v>
      </c>
      <c r="C80" s="7">
        <f t="shared" ca="1" si="23"/>
        <v>45419</v>
      </c>
      <c r="D80" s="1" t="str">
        <f t="shared" ca="1" si="27"/>
        <v>Second Class</v>
      </c>
      <c r="E80" s="1" t="str">
        <f t="shared" ca="1" si="28"/>
        <v>CU-457</v>
      </c>
      <c r="F80" s="1" t="str">
        <f t="shared" ca="1" si="29"/>
        <v>Pooja Yadav</v>
      </c>
      <c r="G80" s="1" t="str">
        <f t="shared" ca="1" si="30"/>
        <v>Corporate</v>
      </c>
      <c r="H80" s="1" t="str">
        <f t="shared" si="31"/>
        <v>India</v>
      </c>
      <c r="I80" s="1" t="str">
        <f t="shared" ca="1" si="32"/>
        <v>West</v>
      </c>
      <c r="J80" s="1" t="str">
        <f t="shared" ca="1" si="33"/>
        <v>Tamil Nadu</v>
      </c>
      <c r="K80" s="1" t="str">
        <f t="shared" ca="1" si="34"/>
        <v>Delhi</v>
      </c>
      <c r="L80" s="1" t="str">
        <f t="shared" ca="1" si="35"/>
        <v>Furniture</v>
      </c>
      <c r="M80" s="1" t="str">
        <f t="shared" ca="1" si="36"/>
        <v>Laptop</v>
      </c>
      <c r="N80" s="1" t="str">
        <f t="shared" ca="1" si="37"/>
        <v>Wireless Mouse</v>
      </c>
      <c r="O80" s="1">
        <f t="shared" ca="1" si="38"/>
        <v>27798</v>
      </c>
      <c r="P80" s="1">
        <f t="shared" ca="1" si="39"/>
        <v>10</v>
      </c>
      <c r="Q80" s="19">
        <f t="shared" ca="1" si="40"/>
        <v>0.2</v>
      </c>
      <c r="R80" s="1">
        <f t="shared" ca="1" si="41"/>
        <v>-555.96000000000049</v>
      </c>
      <c r="S80" s="1">
        <f t="shared" ca="1" si="24"/>
        <v>1</v>
      </c>
      <c r="T80" s="19">
        <f t="shared" ca="1" si="25"/>
        <v>-2.0000000000000018E-2</v>
      </c>
      <c r="U80" s="1" t="str">
        <f t="shared" ca="1" si="26"/>
        <v>High Discount</v>
      </c>
    </row>
    <row r="81" spans="1:21" ht="15.6" customHeight="1" x14ac:dyDescent="0.3">
      <c r="A81" s="1" t="str">
        <f t="shared" si="21"/>
        <v>ORD-80</v>
      </c>
      <c r="B81" s="10">
        <f t="shared" ca="1" si="22"/>
        <v>45574</v>
      </c>
      <c r="C81" s="7">
        <f t="shared" ca="1" si="23"/>
        <v>45575</v>
      </c>
      <c r="D81" s="1" t="str">
        <f t="shared" ca="1" si="27"/>
        <v>Standard Class</v>
      </c>
      <c r="E81" s="1" t="str">
        <f t="shared" ca="1" si="28"/>
        <v>CU-294</v>
      </c>
      <c r="F81" s="1" t="str">
        <f t="shared" ca="1" si="29"/>
        <v>Sunil Kumar</v>
      </c>
      <c r="G81" s="1" t="str">
        <f t="shared" ca="1" si="30"/>
        <v>Consumer</v>
      </c>
      <c r="H81" s="1" t="str">
        <f t="shared" si="31"/>
        <v>India</v>
      </c>
      <c r="I81" s="1" t="str">
        <f t="shared" ca="1" si="32"/>
        <v>East</v>
      </c>
      <c r="J81" s="1" t="str">
        <f t="shared" ca="1" si="33"/>
        <v>Maharashtra</v>
      </c>
      <c r="K81" s="1" t="str">
        <f t="shared" ca="1" si="34"/>
        <v>Chennai</v>
      </c>
      <c r="L81" s="1" t="str">
        <f t="shared" ca="1" si="35"/>
        <v>Office Supplies</v>
      </c>
      <c r="M81" s="1" t="str">
        <f t="shared" ca="1" si="36"/>
        <v>Mobile</v>
      </c>
      <c r="N81" s="1" t="str">
        <f t="shared" ca="1" si="37"/>
        <v>Office Chair</v>
      </c>
      <c r="O81" s="1">
        <f t="shared" ca="1" si="38"/>
        <v>26769</v>
      </c>
      <c r="P81" s="1">
        <f t="shared" ca="1" si="39"/>
        <v>5</v>
      </c>
      <c r="Q81" s="19">
        <f t="shared" ca="1" si="40"/>
        <v>0</v>
      </c>
      <c r="R81" s="1">
        <f t="shared" ca="1" si="41"/>
        <v>4818.42</v>
      </c>
      <c r="S81" s="1">
        <f t="shared" ca="1" si="24"/>
        <v>1</v>
      </c>
      <c r="T81" s="19">
        <f t="shared" ca="1" si="25"/>
        <v>0.18</v>
      </c>
      <c r="U81" s="1" t="str">
        <f t="shared" ca="1" si="26"/>
        <v>Low Discount</v>
      </c>
    </row>
    <row r="82" spans="1:21" ht="15.6" customHeight="1" x14ac:dyDescent="0.3">
      <c r="A82" s="1" t="str">
        <f t="shared" si="21"/>
        <v>ORD-81</v>
      </c>
      <c r="B82" s="10">
        <f t="shared" ca="1" si="22"/>
        <v>45367</v>
      </c>
      <c r="C82" s="7">
        <f t="shared" ca="1" si="23"/>
        <v>45372</v>
      </c>
      <c r="D82" s="1" t="str">
        <f t="shared" ca="1" si="27"/>
        <v>Second Class</v>
      </c>
      <c r="E82" s="1" t="str">
        <f t="shared" ca="1" si="28"/>
        <v>CU-173</v>
      </c>
      <c r="F82" s="1" t="str">
        <f t="shared" ca="1" si="29"/>
        <v>Neha Gupta</v>
      </c>
      <c r="G82" s="1" t="str">
        <f t="shared" ca="1" si="30"/>
        <v>Corporate</v>
      </c>
      <c r="H82" s="1" t="str">
        <f t="shared" si="31"/>
        <v>India</v>
      </c>
      <c r="I82" s="1" t="str">
        <f t="shared" ca="1" si="32"/>
        <v>West</v>
      </c>
      <c r="J82" s="1" t="str">
        <f t="shared" ca="1" si="33"/>
        <v>Maharashtra</v>
      </c>
      <c r="K82" s="1" t="str">
        <f t="shared" ca="1" si="34"/>
        <v>Bangalore</v>
      </c>
      <c r="L82" s="1" t="str">
        <f t="shared" ca="1" si="35"/>
        <v>Furniture</v>
      </c>
      <c r="M82" s="1" t="str">
        <f t="shared" ca="1" si="36"/>
        <v>Mobile</v>
      </c>
      <c r="N82" s="1" t="str">
        <f t="shared" ca="1" si="37"/>
        <v>A4 Paper</v>
      </c>
      <c r="O82" s="1">
        <f t="shared" ca="1" si="38"/>
        <v>56795</v>
      </c>
      <c r="P82" s="1">
        <f t="shared" ca="1" si="39"/>
        <v>5</v>
      </c>
      <c r="Q82" s="19">
        <f t="shared" ca="1" si="40"/>
        <v>0.1</v>
      </c>
      <c r="R82" s="1">
        <f t="shared" ca="1" si="41"/>
        <v>4543.5999999999995</v>
      </c>
      <c r="S82" s="1">
        <f t="shared" ca="1" si="24"/>
        <v>5</v>
      </c>
      <c r="T82" s="19">
        <f t="shared" ca="1" si="25"/>
        <v>7.9999999999999988E-2</v>
      </c>
      <c r="U82" s="1" t="str">
        <f t="shared" ca="1" si="26"/>
        <v>Low Discount</v>
      </c>
    </row>
    <row r="83" spans="1:21" ht="15.6" customHeight="1" x14ac:dyDescent="0.3">
      <c r="A83" s="1" t="str">
        <f t="shared" si="21"/>
        <v>ORD-82</v>
      </c>
      <c r="B83" s="10">
        <f t="shared" ca="1" si="22"/>
        <v>45307</v>
      </c>
      <c r="C83" s="7">
        <f t="shared" ca="1" si="23"/>
        <v>45307</v>
      </c>
      <c r="D83" s="1" t="str">
        <f t="shared" ca="1" si="27"/>
        <v>Second Class</v>
      </c>
      <c r="E83" s="1" t="str">
        <f t="shared" ca="1" si="28"/>
        <v>CU-719</v>
      </c>
      <c r="F83" s="1" t="str">
        <f t="shared" ca="1" si="29"/>
        <v>Neha Gupta</v>
      </c>
      <c r="G83" s="1" t="str">
        <f t="shared" ca="1" si="30"/>
        <v>Consumer</v>
      </c>
      <c r="H83" s="1" t="str">
        <f t="shared" si="31"/>
        <v>India</v>
      </c>
      <c r="I83" s="1" t="str">
        <f t="shared" ca="1" si="32"/>
        <v>East</v>
      </c>
      <c r="J83" s="1" t="str">
        <f t="shared" ca="1" si="33"/>
        <v>Delhi</v>
      </c>
      <c r="K83" s="1" t="str">
        <f t="shared" ca="1" si="34"/>
        <v>Delhi</v>
      </c>
      <c r="L83" s="1" t="str">
        <f t="shared" ca="1" si="35"/>
        <v>Office Supplies</v>
      </c>
      <c r="M83" s="1" t="str">
        <f t="shared" ca="1" si="36"/>
        <v>Chair</v>
      </c>
      <c r="N83" s="1" t="str">
        <f t="shared" ca="1" si="37"/>
        <v>A4 Paper</v>
      </c>
      <c r="O83" s="1">
        <f t="shared" ca="1" si="38"/>
        <v>41924</v>
      </c>
      <c r="P83" s="1">
        <f t="shared" ca="1" si="39"/>
        <v>5</v>
      </c>
      <c r="Q83" s="19">
        <f t="shared" ca="1" si="40"/>
        <v>0.2</v>
      </c>
      <c r="R83" s="1">
        <f t="shared" ca="1" si="41"/>
        <v>-838.4800000000007</v>
      </c>
      <c r="S83" s="1">
        <f t="shared" ca="1" si="24"/>
        <v>0</v>
      </c>
      <c r="T83" s="19">
        <f t="shared" ca="1" si="25"/>
        <v>-2.0000000000000018E-2</v>
      </c>
      <c r="U83" s="1" t="str">
        <f t="shared" ca="1" si="26"/>
        <v>High Discount</v>
      </c>
    </row>
    <row r="84" spans="1:21" ht="15.6" customHeight="1" x14ac:dyDescent="0.3">
      <c r="A84" s="1" t="str">
        <f t="shared" si="21"/>
        <v>ORD-83</v>
      </c>
      <c r="B84" s="10">
        <f t="shared" ca="1" si="22"/>
        <v>45655</v>
      </c>
      <c r="C84" s="7">
        <f t="shared" ca="1" si="23"/>
        <v>45656</v>
      </c>
      <c r="D84" s="1" t="str">
        <f t="shared" ca="1" si="27"/>
        <v>Standard Class</v>
      </c>
      <c r="E84" s="1" t="str">
        <f t="shared" ca="1" si="28"/>
        <v>CU-659</v>
      </c>
      <c r="F84" s="1" t="str">
        <f t="shared" ca="1" si="29"/>
        <v>Arjun Malhotra</v>
      </c>
      <c r="G84" s="1" t="str">
        <f t="shared" ca="1" si="30"/>
        <v>Home Office</v>
      </c>
      <c r="H84" s="1" t="str">
        <f t="shared" si="31"/>
        <v>India</v>
      </c>
      <c r="I84" s="1" t="str">
        <f t="shared" ca="1" si="32"/>
        <v>North</v>
      </c>
      <c r="J84" s="1" t="str">
        <f t="shared" ca="1" si="33"/>
        <v>West Bengal</v>
      </c>
      <c r="K84" s="1" t="str">
        <f t="shared" ca="1" si="34"/>
        <v>Mumbai</v>
      </c>
      <c r="L84" s="1" t="str">
        <f t="shared" ca="1" si="35"/>
        <v>Technology</v>
      </c>
      <c r="M84" s="1" t="str">
        <f t="shared" ca="1" si="36"/>
        <v>Mobile</v>
      </c>
      <c r="N84" s="1" t="str">
        <f t="shared" ca="1" si="37"/>
        <v>A4 Paper</v>
      </c>
      <c r="O84" s="1">
        <f t="shared" ca="1" si="38"/>
        <v>11582</v>
      </c>
      <c r="P84" s="1">
        <f t="shared" ca="1" si="39"/>
        <v>6</v>
      </c>
      <c r="Q84" s="19">
        <f t="shared" ca="1" si="40"/>
        <v>0.05</v>
      </c>
      <c r="R84" s="1">
        <f t="shared" ca="1" si="41"/>
        <v>1505.66</v>
      </c>
      <c r="S84" s="1">
        <f t="shared" ca="1" si="24"/>
        <v>1</v>
      </c>
      <c r="T84" s="19">
        <f t="shared" ca="1" si="25"/>
        <v>0.13</v>
      </c>
      <c r="U84" s="1" t="str">
        <f t="shared" ca="1" si="26"/>
        <v>Low Discount</v>
      </c>
    </row>
    <row r="85" spans="1:21" ht="15.6" customHeight="1" x14ac:dyDescent="0.3">
      <c r="A85" s="1" t="str">
        <f t="shared" si="21"/>
        <v>ORD-84</v>
      </c>
      <c r="B85" s="10">
        <f t="shared" ca="1" si="22"/>
        <v>45376</v>
      </c>
      <c r="C85" s="7">
        <f t="shared" ca="1" si="23"/>
        <v>45380</v>
      </c>
      <c r="D85" s="1" t="str">
        <f t="shared" ca="1" si="27"/>
        <v>Standard Class</v>
      </c>
      <c r="E85" s="1" t="str">
        <f t="shared" ca="1" si="28"/>
        <v>CU-236</v>
      </c>
      <c r="F85" s="1" t="str">
        <f t="shared" ca="1" si="29"/>
        <v>Neha Gupta</v>
      </c>
      <c r="G85" s="1" t="str">
        <f t="shared" ca="1" si="30"/>
        <v>Corporate</v>
      </c>
      <c r="H85" s="1" t="str">
        <f t="shared" si="31"/>
        <v>India</v>
      </c>
      <c r="I85" s="1" t="str">
        <f t="shared" ca="1" si="32"/>
        <v>North</v>
      </c>
      <c r="J85" s="1" t="str">
        <f t="shared" ca="1" si="33"/>
        <v>Delhi</v>
      </c>
      <c r="K85" s="1" t="str">
        <f t="shared" ca="1" si="34"/>
        <v>Ahmedabad</v>
      </c>
      <c r="L85" s="1" t="str">
        <f t="shared" ca="1" si="35"/>
        <v>Office Supplies</v>
      </c>
      <c r="M85" s="1" t="str">
        <f t="shared" ca="1" si="36"/>
        <v>Table</v>
      </c>
      <c r="N85" s="1" t="str">
        <f t="shared" ca="1" si="37"/>
        <v>Office Table</v>
      </c>
      <c r="O85" s="1">
        <f t="shared" ca="1" si="38"/>
        <v>38765</v>
      </c>
      <c r="P85" s="1">
        <f t="shared" ca="1" si="39"/>
        <v>3</v>
      </c>
      <c r="Q85" s="19">
        <f t="shared" ca="1" si="40"/>
        <v>0</v>
      </c>
      <c r="R85" s="1">
        <f t="shared" ca="1" si="41"/>
        <v>6977.7</v>
      </c>
      <c r="S85" s="1">
        <f t="shared" ca="1" si="24"/>
        <v>4</v>
      </c>
      <c r="T85" s="19">
        <f t="shared" ca="1" si="25"/>
        <v>0.18</v>
      </c>
      <c r="U85" s="1" t="str">
        <f t="shared" ca="1" si="26"/>
        <v>Low Discount</v>
      </c>
    </row>
    <row r="86" spans="1:21" ht="15.6" customHeight="1" x14ac:dyDescent="0.3">
      <c r="A86" s="1" t="str">
        <f t="shared" si="21"/>
        <v>ORD-85</v>
      </c>
      <c r="B86" s="10">
        <f t="shared" ca="1" si="22"/>
        <v>45649</v>
      </c>
      <c r="C86" s="7">
        <f t="shared" ca="1" si="23"/>
        <v>45653</v>
      </c>
      <c r="D86" s="1" t="str">
        <f t="shared" ca="1" si="27"/>
        <v>Standard Class</v>
      </c>
      <c r="E86" s="1" t="str">
        <f t="shared" ca="1" si="28"/>
        <v>CU-359</v>
      </c>
      <c r="F86" s="1" t="str">
        <f t="shared" ca="1" si="29"/>
        <v>Neha Gupta</v>
      </c>
      <c r="G86" s="1" t="str">
        <f t="shared" ca="1" si="30"/>
        <v>Corporate</v>
      </c>
      <c r="H86" s="1" t="str">
        <f t="shared" si="31"/>
        <v>India</v>
      </c>
      <c r="I86" s="1" t="str">
        <f t="shared" ca="1" si="32"/>
        <v>East</v>
      </c>
      <c r="J86" s="1" t="str">
        <f t="shared" ca="1" si="33"/>
        <v>Delhi</v>
      </c>
      <c r="K86" s="1" t="str">
        <f t="shared" ca="1" si="34"/>
        <v>Kolkata</v>
      </c>
      <c r="L86" s="1" t="str">
        <f t="shared" ca="1" si="35"/>
        <v>Furniture</v>
      </c>
      <c r="M86" s="1" t="str">
        <f t="shared" ca="1" si="36"/>
        <v>Mobile</v>
      </c>
      <c r="N86" s="1" t="str">
        <f t="shared" ca="1" si="37"/>
        <v>HP Pavilion</v>
      </c>
      <c r="O86" s="1">
        <f t="shared" ca="1" si="38"/>
        <v>58282</v>
      </c>
      <c r="P86" s="1">
        <f t="shared" ca="1" si="39"/>
        <v>7</v>
      </c>
      <c r="Q86" s="19">
        <f t="shared" ca="1" si="40"/>
        <v>0.3</v>
      </c>
      <c r="R86" s="1">
        <f t="shared" ca="1" si="41"/>
        <v>-6993.84</v>
      </c>
      <c r="S86" s="1">
        <f t="shared" ca="1" si="24"/>
        <v>4</v>
      </c>
      <c r="T86" s="19">
        <f t="shared" ca="1" si="25"/>
        <v>-0.12</v>
      </c>
      <c r="U86" s="1" t="str">
        <f t="shared" ca="1" si="26"/>
        <v>High Discount</v>
      </c>
    </row>
    <row r="87" spans="1:21" ht="15.6" customHeight="1" x14ac:dyDescent="0.3">
      <c r="A87" s="1" t="str">
        <f t="shared" si="21"/>
        <v>ORD-86</v>
      </c>
      <c r="B87" s="10">
        <f t="shared" ca="1" si="22"/>
        <v>45300</v>
      </c>
      <c r="C87" s="7">
        <f t="shared" ca="1" si="23"/>
        <v>45305</v>
      </c>
      <c r="D87" s="1" t="str">
        <f t="shared" ca="1" si="27"/>
        <v>Standard Class</v>
      </c>
      <c r="E87" s="1" t="str">
        <f t="shared" ca="1" si="28"/>
        <v>CU-632</v>
      </c>
      <c r="F87" s="1" t="str">
        <f t="shared" ca="1" si="29"/>
        <v>Arjun Malhotra</v>
      </c>
      <c r="G87" s="1" t="str">
        <f t="shared" ca="1" si="30"/>
        <v>Corporate</v>
      </c>
      <c r="H87" s="1" t="str">
        <f t="shared" si="31"/>
        <v>India</v>
      </c>
      <c r="I87" s="1" t="str">
        <f t="shared" ca="1" si="32"/>
        <v>West</v>
      </c>
      <c r="J87" s="1" t="str">
        <f t="shared" ca="1" si="33"/>
        <v>Karnataka</v>
      </c>
      <c r="K87" s="1" t="str">
        <f t="shared" ca="1" si="34"/>
        <v>Ahmedabad</v>
      </c>
      <c r="L87" s="1" t="str">
        <f t="shared" ca="1" si="35"/>
        <v>Office Supplies</v>
      </c>
      <c r="M87" s="1" t="str">
        <f t="shared" ca="1" si="36"/>
        <v>Mobile</v>
      </c>
      <c r="N87" s="1" t="str">
        <f t="shared" ca="1" si="37"/>
        <v>A4 Paper</v>
      </c>
      <c r="O87" s="1">
        <f t="shared" ca="1" si="38"/>
        <v>11161</v>
      </c>
      <c r="P87" s="1">
        <f t="shared" ca="1" si="39"/>
        <v>3</v>
      </c>
      <c r="Q87" s="19">
        <f t="shared" ca="1" si="40"/>
        <v>0.1</v>
      </c>
      <c r="R87" s="1">
        <f t="shared" ca="1" si="41"/>
        <v>892.87999999999988</v>
      </c>
      <c r="S87" s="1">
        <f t="shared" ca="1" si="24"/>
        <v>5</v>
      </c>
      <c r="T87" s="19">
        <f t="shared" ca="1" si="25"/>
        <v>7.9999999999999988E-2</v>
      </c>
      <c r="U87" s="1" t="str">
        <f t="shared" ca="1" si="26"/>
        <v>Low Discount</v>
      </c>
    </row>
    <row r="88" spans="1:21" ht="15.6" customHeight="1" x14ac:dyDescent="0.3">
      <c r="A88" s="1" t="str">
        <f t="shared" si="21"/>
        <v>ORD-87</v>
      </c>
      <c r="B88" s="10">
        <f t="shared" ca="1" si="22"/>
        <v>45547</v>
      </c>
      <c r="C88" s="7">
        <f t="shared" ca="1" si="23"/>
        <v>45551</v>
      </c>
      <c r="D88" s="1" t="str">
        <f t="shared" ca="1" si="27"/>
        <v>Standard Class</v>
      </c>
      <c r="E88" s="1" t="str">
        <f t="shared" ca="1" si="28"/>
        <v>CU-842</v>
      </c>
      <c r="F88" s="1" t="str">
        <f t="shared" ca="1" si="29"/>
        <v>Amit Verma</v>
      </c>
      <c r="G88" s="1" t="str">
        <f t="shared" ca="1" si="30"/>
        <v>Home Office</v>
      </c>
      <c r="H88" s="1" t="str">
        <f t="shared" si="31"/>
        <v>India</v>
      </c>
      <c r="I88" s="1" t="str">
        <f t="shared" ca="1" si="32"/>
        <v>South</v>
      </c>
      <c r="J88" s="1" t="str">
        <f t="shared" ca="1" si="33"/>
        <v>Delhi</v>
      </c>
      <c r="K88" s="1" t="str">
        <f t="shared" ca="1" si="34"/>
        <v>Kolkata</v>
      </c>
      <c r="L88" s="1" t="str">
        <f t="shared" ca="1" si="35"/>
        <v>Office Supplies</v>
      </c>
      <c r="M88" s="1" t="str">
        <f t="shared" ca="1" si="36"/>
        <v>Paper</v>
      </c>
      <c r="N88" s="1" t="str">
        <f t="shared" ca="1" si="37"/>
        <v>Office Chair</v>
      </c>
      <c r="O88" s="1">
        <f t="shared" ca="1" si="38"/>
        <v>31589</v>
      </c>
      <c r="P88" s="1">
        <f t="shared" ca="1" si="39"/>
        <v>10</v>
      </c>
      <c r="Q88" s="19">
        <f t="shared" ca="1" si="40"/>
        <v>0.1</v>
      </c>
      <c r="R88" s="1">
        <f t="shared" ca="1" si="41"/>
        <v>2527.1199999999994</v>
      </c>
      <c r="S88" s="1">
        <f t="shared" ca="1" si="24"/>
        <v>4</v>
      </c>
      <c r="T88" s="19">
        <f t="shared" ca="1" si="25"/>
        <v>7.9999999999999988E-2</v>
      </c>
      <c r="U88" s="1" t="str">
        <f t="shared" ca="1" si="26"/>
        <v>Low Discount</v>
      </c>
    </row>
    <row r="89" spans="1:21" ht="15.6" customHeight="1" x14ac:dyDescent="0.3">
      <c r="A89" s="1" t="str">
        <f t="shared" si="21"/>
        <v>ORD-88</v>
      </c>
      <c r="B89" s="10">
        <f t="shared" ca="1" si="22"/>
        <v>45385</v>
      </c>
      <c r="C89" s="7">
        <f t="shared" ca="1" si="23"/>
        <v>45387</v>
      </c>
      <c r="D89" s="1" t="str">
        <f t="shared" ca="1" si="27"/>
        <v>Standard Class</v>
      </c>
      <c r="E89" s="1" t="str">
        <f t="shared" ca="1" si="28"/>
        <v>CU-169</v>
      </c>
      <c r="F89" s="1" t="str">
        <f t="shared" ca="1" si="29"/>
        <v>Priya Singh</v>
      </c>
      <c r="G89" s="1" t="str">
        <f t="shared" ca="1" si="30"/>
        <v>Corporate</v>
      </c>
      <c r="H89" s="1" t="str">
        <f t="shared" si="31"/>
        <v>India</v>
      </c>
      <c r="I89" s="1" t="str">
        <f t="shared" ca="1" si="32"/>
        <v>South</v>
      </c>
      <c r="J89" s="1" t="str">
        <f t="shared" ca="1" si="33"/>
        <v>Karnataka</v>
      </c>
      <c r="K89" s="1" t="str">
        <f t="shared" ca="1" si="34"/>
        <v>Mumbai</v>
      </c>
      <c r="L89" s="1" t="str">
        <f t="shared" ca="1" si="35"/>
        <v>Office Supplies</v>
      </c>
      <c r="M89" s="1" t="str">
        <f t="shared" ca="1" si="36"/>
        <v>Mobile</v>
      </c>
      <c r="N89" s="1" t="str">
        <f t="shared" ca="1" si="37"/>
        <v>Office Table</v>
      </c>
      <c r="O89" s="1">
        <f t="shared" ca="1" si="38"/>
        <v>9261</v>
      </c>
      <c r="P89" s="1">
        <f t="shared" ca="1" si="39"/>
        <v>9</v>
      </c>
      <c r="Q89" s="19">
        <f t="shared" ca="1" si="40"/>
        <v>0.3</v>
      </c>
      <c r="R89" s="1">
        <f t="shared" ca="1" si="41"/>
        <v>-1111.32</v>
      </c>
      <c r="S89" s="1">
        <f t="shared" ca="1" si="24"/>
        <v>2</v>
      </c>
      <c r="T89" s="19">
        <f t="shared" ca="1" si="25"/>
        <v>-0.12</v>
      </c>
      <c r="U89" s="1" t="str">
        <f t="shared" ca="1" si="26"/>
        <v>High Discount</v>
      </c>
    </row>
    <row r="90" spans="1:21" ht="15.6" customHeight="1" x14ac:dyDescent="0.3">
      <c r="A90" s="1" t="str">
        <f t="shared" si="21"/>
        <v>ORD-89</v>
      </c>
      <c r="B90" s="10">
        <f t="shared" ca="1" si="22"/>
        <v>45364</v>
      </c>
      <c r="C90" s="7">
        <f t="shared" ca="1" si="23"/>
        <v>45367</v>
      </c>
      <c r="D90" s="1" t="str">
        <f t="shared" ca="1" si="27"/>
        <v>Standard Class</v>
      </c>
      <c r="E90" s="1" t="str">
        <f t="shared" ca="1" si="28"/>
        <v>CU-361</v>
      </c>
      <c r="F90" s="1" t="str">
        <f t="shared" ca="1" si="29"/>
        <v>Priya Singh</v>
      </c>
      <c r="G90" s="1" t="str">
        <f t="shared" ca="1" si="30"/>
        <v>Corporate</v>
      </c>
      <c r="H90" s="1" t="str">
        <f t="shared" si="31"/>
        <v>India</v>
      </c>
      <c r="I90" s="1" t="str">
        <f t="shared" ca="1" si="32"/>
        <v>North</v>
      </c>
      <c r="J90" s="1" t="str">
        <f t="shared" ca="1" si="33"/>
        <v>West Bengal</v>
      </c>
      <c r="K90" s="1" t="str">
        <f t="shared" ca="1" si="34"/>
        <v>Delhi</v>
      </c>
      <c r="L90" s="1" t="str">
        <f t="shared" ca="1" si="35"/>
        <v>Furniture</v>
      </c>
      <c r="M90" s="1" t="str">
        <f t="shared" ca="1" si="36"/>
        <v>Table</v>
      </c>
      <c r="N90" s="1" t="str">
        <f t="shared" ca="1" si="37"/>
        <v>Office Table</v>
      </c>
      <c r="O90" s="1">
        <f t="shared" ca="1" si="38"/>
        <v>23691</v>
      </c>
      <c r="P90" s="1">
        <f t="shared" ca="1" si="39"/>
        <v>3</v>
      </c>
      <c r="Q90" s="19">
        <f t="shared" ca="1" si="40"/>
        <v>0.2</v>
      </c>
      <c r="R90" s="1">
        <f t="shared" ca="1" si="41"/>
        <v>-473.82000000000045</v>
      </c>
      <c r="S90" s="1">
        <f t="shared" ca="1" si="24"/>
        <v>3</v>
      </c>
      <c r="T90" s="19">
        <f t="shared" ca="1" si="25"/>
        <v>-2.0000000000000018E-2</v>
      </c>
      <c r="U90" s="1" t="str">
        <f t="shared" ca="1" si="26"/>
        <v>High Discount</v>
      </c>
    </row>
    <row r="91" spans="1:21" ht="15.6" customHeight="1" x14ac:dyDescent="0.3">
      <c r="A91" s="1" t="str">
        <f t="shared" si="21"/>
        <v>ORD-90</v>
      </c>
      <c r="B91" s="10">
        <f t="shared" ca="1" si="22"/>
        <v>45579</v>
      </c>
      <c r="C91" s="7">
        <f t="shared" ca="1" si="23"/>
        <v>45584</v>
      </c>
      <c r="D91" s="1" t="str">
        <f t="shared" ca="1" si="27"/>
        <v>Second Class</v>
      </c>
      <c r="E91" s="1" t="str">
        <f t="shared" ca="1" si="28"/>
        <v>CU-316</v>
      </c>
      <c r="F91" s="1" t="str">
        <f t="shared" ca="1" si="29"/>
        <v>Priya Singh</v>
      </c>
      <c r="G91" s="1" t="str">
        <f t="shared" ca="1" si="30"/>
        <v>Consumer</v>
      </c>
      <c r="H91" s="1" t="str">
        <f t="shared" si="31"/>
        <v>India</v>
      </c>
      <c r="I91" s="1" t="str">
        <f t="shared" ca="1" si="32"/>
        <v>East</v>
      </c>
      <c r="J91" s="1" t="str">
        <f t="shared" ca="1" si="33"/>
        <v>Delhi</v>
      </c>
      <c r="K91" s="1" t="str">
        <f t="shared" ca="1" si="34"/>
        <v>Delhi</v>
      </c>
      <c r="L91" s="1" t="str">
        <f t="shared" ca="1" si="35"/>
        <v>Furniture</v>
      </c>
      <c r="M91" s="1" t="str">
        <f t="shared" ca="1" si="36"/>
        <v>Chair</v>
      </c>
      <c r="N91" s="1" t="str">
        <f t="shared" ca="1" si="37"/>
        <v>Samsung Galaxy</v>
      </c>
      <c r="O91" s="1">
        <f t="shared" ca="1" si="38"/>
        <v>25110</v>
      </c>
      <c r="P91" s="1">
        <f t="shared" ca="1" si="39"/>
        <v>3</v>
      </c>
      <c r="Q91" s="19">
        <f t="shared" ca="1" si="40"/>
        <v>0</v>
      </c>
      <c r="R91" s="1">
        <f t="shared" ca="1" si="41"/>
        <v>4519.8</v>
      </c>
      <c r="S91" s="1">
        <f t="shared" ca="1" si="24"/>
        <v>5</v>
      </c>
      <c r="T91" s="19">
        <f t="shared" ca="1" si="25"/>
        <v>0.18000000000000002</v>
      </c>
      <c r="U91" s="1" t="str">
        <f t="shared" ca="1" si="26"/>
        <v>Low Discount</v>
      </c>
    </row>
    <row r="92" spans="1:21" ht="15.6" customHeight="1" x14ac:dyDescent="0.3">
      <c r="A92" s="1" t="str">
        <f t="shared" si="21"/>
        <v>ORD-91</v>
      </c>
      <c r="B92" s="10">
        <f t="shared" ca="1" si="22"/>
        <v>45537</v>
      </c>
      <c r="C92" s="7">
        <f t="shared" ca="1" si="23"/>
        <v>45537</v>
      </c>
      <c r="D92" s="1" t="str">
        <f t="shared" ca="1" si="27"/>
        <v>Standard Class</v>
      </c>
      <c r="E92" s="1" t="str">
        <f t="shared" ca="1" si="28"/>
        <v>CU-542</v>
      </c>
      <c r="F92" s="1" t="str">
        <f t="shared" ca="1" si="29"/>
        <v>Sunil Kumar</v>
      </c>
      <c r="G92" s="1" t="str">
        <f t="shared" ca="1" si="30"/>
        <v>Home Office</v>
      </c>
      <c r="H92" s="1" t="str">
        <f t="shared" si="31"/>
        <v>India</v>
      </c>
      <c r="I92" s="1" t="str">
        <f t="shared" ca="1" si="32"/>
        <v>East</v>
      </c>
      <c r="J92" s="1" t="str">
        <f t="shared" ca="1" si="33"/>
        <v>Tamil Nadu</v>
      </c>
      <c r="K92" s="1" t="str">
        <f t="shared" ca="1" si="34"/>
        <v>Mumbai</v>
      </c>
      <c r="L92" s="1" t="str">
        <f t="shared" ca="1" si="35"/>
        <v>Office Supplies</v>
      </c>
      <c r="M92" s="1" t="str">
        <f t="shared" ca="1" si="36"/>
        <v>Chair</v>
      </c>
      <c r="N92" s="1" t="str">
        <f t="shared" ca="1" si="37"/>
        <v>Office Table</v>
      </c>
      <c r="O92" s="1">
        <f t="shared" ca="1" si="38"/>
        <v>38089</v>
      </c>
      <c r="P92" s="1">
        <f t="shared" ca="1" si="39"/>
        <v>2</v>
      </c>
      <c r="Q92" s="19">
        <f t="shared" ca="1" si="40"/>
        <v>0.3</v>
      </c>
      <c r="R92" s="1">
        <f t="shared" ca="1" si="41"/>
        <v>-4570.6799999999994</v>
      </c>
      <c r="S92" s="1">
        <f t="shared" ca="1" si="24"/>
        <v>0</v>
      </c>
      <c r="T92" s="19">
        <f t="shared" ca="1" si="25"/>
        <v>-0.11999999999999998</v>
      </c>
      <c r="U92" s="1" t="str">
        <f t="shared" ca="1" si="26"/>
        <v>High Discount</v>
      </c>
    </row>
    <row r="93" spans="1:21" ht="15.6" customHeight="1" x14ac:dyDescent="0.3">
      <c r="A93" s="1" t="str">
        <f t="shared" si="21"/>
        <v>ORD-92</v>
      </c>
      <c r="B93" s="10">
        <f t="shared" ca="1" si="22"/>
        <v>45589</v>
      </c>
      <c r="C93" s="7">
        <f t="shared" ca="1" si="23"/>
        <v>45589</v>
      </c>
      <c r="D93" s="1" t="str">
        <f t="shared" ca="1" si="27"/>
        <v>Same Day</v>
      </c>
      <c r="E93" s="1" t="str">
        <f t="shared" ca="1" si="28"/>
        <v>CU-295</v>
      </c>
      <c r="F93" s="1" t="str">
        <f t="shared" ca="1" si="29"/>
        <v>Neha Gupta</v>
      </c>
      <c r="G93" s="1" t="str">
        <f t="shared" ca="1" si="30"/>
        <v>Consumer</v>
      </c>
      <c r="H93" s="1" t="str">
        <f t="shared" si="31"/>
        <v>India</v>
      </c>
      <c r="I93" s="1" t="str">
        <f t="shared" ca="1" si="32"/>
        <v>North</v>
      </c>
      <c r="J93" s="1" t="str">
        <f t="shared" ca="1" si="33"/>
        <v>Gujarat</v>
      </c>
      <c r="K93" s="1" t="str">
        <f t="shared" ca="1" si="34"/>
        <v>Mumbai</v>
      </c>
      <c r="L93" s="1" t="str">
        <f t="shared" ca="1" si="35"/>
        <v>Furniture</v>
      </c>
      <c r="M93" s="1" t="str">
        <f t="shared" ca="1" si="36"/>
        <v>Chair</v>
      </c>
      <c r="N93" s="1" t="str">
        <f t="shared" ca="1" si="37"/>
        <v>Office Chair</v>
      </c>
      <c r="O93" s="1">
        <f t="shared" ca="1" si="38"/>
        <v>18042</v>
      </c>
      <c r="P93" s="1">
        <f t="shared" ca="1" si="39"/>
        <v>8</v>
      </c>
      <c r="Q93" s="19">
        <f t="shared" ca="1" si="40"/>
        <v>0.1</v>
      </c>
      <c r="R93" s="1">
        <f t="shared" ca="1" si="41"/>
        <v>1443.3599999999997</v>
      </c>
      <c r="S93" s="1">
        <f t="shared" ca="1" si="24"/>
        <v>0</v>
      </c>
      <c r="T93" s="19">
        <f t="shared" ca="1" si="25"/>
        <v>7.9999999999999988E-2</v>
      </c>
      <c r="U93" s="1" t="str">
        <f t="shared" ca="1" si="26"/>
        <v>Low Discount</v>
      </c>
    </row>
    <row r="94" spans="1:21" ht="15.6" customHeight="1" x14ac:dyDescent="0.3">
      <c r="A94" s="1" t="str">
        <f t="shared" si="21"/>
        <v>ORD-93</v>
      </c>
      <c r="B94" s="10">
        <f t="shared" ca="1" si="22"/>
        <v>45614</v>
      </c>
      <c r="C94" s="7">
        <f t="shared" ca="1" si="23"/>
        <v>45616</v>
      </c>
      <c r="D94" s="1" t="str">
        <f t="shared" ca="1" si="27"/>
        <v>Second Class</v>
      </c>
      <c r="E94" s="1" t="str">
        <f t="shared" ca="1" si="28"/>
        <v>CU-813</v>
      </c>
      <c r="F94" s="1" t="str">
        <f t="shared" ca="1" si="29"/>
        <v>Pooja Yadav</v>
      </c>
      <c r="G94" s="1" t="str">
        <f t="shared" ca="1" si="30"/>
        <v>Corporate</v>
      </c>
      <c r="H94" s="1" t="str">
        <f t="shared" si="31"/>
        <v>India</v>
      </c>
      <c r="I94" s="1" t="str">
        <f t="shared" ca="1" si="32"/>
        <v>North</v>
      </c>
      <c r="J94" s="1" t="str">
        <f t="shared" ca="1" si="33"/>
        <v>Gujarat</v>
      </c>
      <c r="K94" s="1" t="str">
        <f t="shared" ca="1" si="34"/>
        <v>Delhi</v>
      </c>
      <c r="L94" s="1" t="str">
        <f t="shared" ca="1" si="35"/>
        <v>Office Supplies</v>
      </c>
      <c r="M94" s="1" t="str">
        <f t="shared" ca="1" si="36"/>
        <v>Mobile</v>
      </c>
      <c r="N94" s="1" t="str">
        <f t="shared" ca="1" si="37"/>
        <v>Office Chair</v>
      </c>
      <c r="O94" s="1">
        <f t="shared" ca="1" si="38"/>
        <v>19636</v>
      </c>
      <c r="P94" s="1">
        <f t="shared" ca="1" si="39"/>
        <v>8</v>
      </c>
      <c r="Q94" s="19">
        <f t="shared" ca="1" si="40"/>
        <v>0.2</v>
      </c>
      <c r="R94" s="1">
        <f t="shared" ca="1" si="41"/>
        <v>-392.72000000000037</v>
      </c>
      <c r="S94" s="1">
        <f t="shared" ca="1" si="24"/>
        <v>2</v>
      </c>
      <c r="T94" s="19">
        <f t="shared" ca="1" si="25"/>
        <v>-2.0000000000000018E-2</v>
      </c>
      <c r="U94" s="1" t="str">
        <f t="shared" ca="1" si="26"/>
        <v>High Discount</v>
      </c>
    </row>
    <row r="95" spans="1:21" ht="15.6" customHeight="1" x14ac:dyDescent="0.3">
      <c r="A95" s="1" t="str">
        <f t="shared" si="21"/>
        <v>ORD-94</v>
      </c>
      <c r="B95" s="10">
        <f t="shared" ca="1" si="22"/>
        <v>45583</v>
      </c>
      <c r="C95" s="7">
        <f t="shared" ca="1" si="23"/>
        <v>45584</v>
      </c>
      <c r="D95" s="1" t="str">
        <f t="shared" ca="1" si="27"/>
        <v>Second Class</v>
      </c>
      <c r="E95" s="1" t="str">
        <f t="shared" ca="1" si="28"/>
        <v>CU-270</v>
      </c>
      <c r="F95" s="1" t="str">
        <f t="shared" ca="1" si="29"/>
        <v>Arjun Malhotra</v>
      </c>
      <c r="G95" s="1" t="str">
        <f t="shared" ca="1" si="30"/>
        <v>Home Office</v>
      </c>
      <c r="H95" s="1" t="str">
        <f t="shared" si="31"/>
        <v>India</v>
      </c>
      <c r="I95" s="1" t="str">
        <f t="shared" ca="1" si="32"/>
        <v>South</v>
      </c>
      <c r="J95" s="1" t="str">
        <f t="shared" ca="1" si="33"/>
        <v>Gujarat</v>
      </c>
      <c r="K95" s="1" t="str">
        <f t="shared" ca="1" si="34"/>
        <v>Kolkata</v>
      </c>
      <c r="L95" s="1" t="str">
        <f t="shared" ca="1" si="35"/>
        <v>Technology</v>
      </c>
      <c r="M95" s="1" t="str">
        <f t="shared" ca="1" si="36"/>
        <v>Table</v>
      </c>
      <c r="N95" s="1" t="str">
        <f t="shared" ca="1" si="37"/>
        <v>HP Pavilion</v>
      </c>
      <c r="O95" s="1">
        <f t="shared" ca="1" si="38"/>
        <v>42490</v>
      </c>
      <c r="P95" s="1">
        <f t="shared" ca="1" si="39"/>
        <v>6</v>
      </c>
      <c r="Q95" s="19">
        <f t="shared" ca="1" si="40"/>
        <v>0.1</v>
      </c>
      <c r="R95" s="1">
        <f t="shared" ca="1" si="41"/>
        <v>3399.1999999999994</v>
      </c>
      <c r="S95" s="1">
        <f t="shared" ca="1" si="24"/>
        <v>1</v>
      </c>
      <c r="T95" s="19">
        <f t="shared" ca="1" si="25"/>
        <v>7.9999999999999988E-2</v>
      </c>
      <c r="U95" s="1" t="str">
        <f t="shared" ca="1" si="26"/>
        <v>Low Discount</v>
      </c>
    </row>
    <row r="96" spans="1:21" ht="15.6" customHeight="1" x14ac:dyDescent="0.3">
      <c r="A96" s="1" t="str">
        <f t="shared" si="21"/>
        <v>ORD-95</v>
      </c>
      <c r="B96" s="10">
        <f t="shared" ca="1" si="22"/>
        <v>45607</v>
      </c>
      <c r="C96" s="7">
        <f t="shared" ca="1" si="23"/>
        <v>45612</v>
      </c>
      <c r="D96" s="1" t="str">
        <f t="shared" ca="1" si="27"/>
        <v>Same Day</v>
      </c>
      <c r="E96" s="1" t="str">
        <f t="shared" ca="1" si="28"/>
        <v>CU-200</v>
      </c>
      <c r="F96" s="1" t="str">
        <f t="shared" ca="1" si="29"/>
        <v>Neha Gupta</v>
      </c>
      <c r="G96" s="1" t="str">
        <f t="shared" ca="1" si="30"/>
        <v>Consumer</v>
      </c>
      <c r="H96" s="1" t="str">
        <f t="shared" si="31"/>
        <v>India</v>
      </c>
      <c r="I96" s="1" t="str">
        <f t="shared" ca="1" si="32"/>
        <v>West</v>
      </c>
      <c r="J96" s="1" t="str">
        <f t="shared" ca="1" si="33"/>
        <v>Tamil Nadu</v>
      </c>
      <c r="K96" s="1" t="str">
        <f t="shared" ca="1" si="34"/>
        <v>Ahmedabad</v>
      </c>
      <c r="L96" s="1" t="str">
        <f t="shared" ca="1" si="35"/>
        <v>Furniture</v>
      </c>
      <c r="M96" s="1" t="str">
        <f t="shared" ca="1" si="36"/>
        <v>Laptop</v>
      </c>
      <c r="N96" s="1" t="str">
        <f t="shared" ca="1" si="37"/>
        <v>Office Chair</v>
      </c>
      <c r="O96" s="1">
        <f t="shared" ca="1" si="38"/>
        <v>16836</v>
      </c>
      <c r="P96" s="1">
        <f t="shared" ca="1" si="39"/>
        <v>4</v>
      </c>
      <c r="Q96" s="19">
        <f t="shared" ca="1" si="40"/>
        <v>0.05</v>
      </c>
      <c r="R96" s="1">
        <f t="shared" ca="1" si="41"/>
        <v>2188.6800000000003</v>
      </c>
      <c r="S96" s="1">
        <f t="shared" ca="1" si="24"/>
        <v>5</v>
      </c>
      <c r="T96" s="19">
        <f t="shared" ca="1" si="25"/>
        <v>0.13</v>
      </c>
      <c r="U96" s="1" t="str">
        <f t="shared" ca="1" si="26"/>
        <v>Low Discount</v>
      </c>
    </row>
    <row r="97" spans="1:21" ht="15.6" customHeight="1" x14ac:dyDescent="0.3">
      <c r="A97" s="1" t="str">
        <f t="shared" si="21"/>
        <v>ORD-96</v>
      </c>
      <c r="B97" s="10">
        <f t="shared" ca="1" si="22"/>
        <v>45452</v>
      </c>
      <c r="C97" s="7">
        <f t="shared" ca="1" si="23"/>
        <v>45452</v>
      </c>
      <c r="D97" s="1" t="str">
        <f t="shared" ca="1" si="27"/>
        <v>Standard Class</v>
      </c>
      <c r="E97" s="1" t="str">
        <f t="shared" ca="1" si="28"/>
        <v>CU-974</v>
      </c>
      <c r="F97" s="1" t="str">
        <f t="shared" ca="1" si="29"/>
        <v>Pooja Yadav</v>
      </c>
      <c r="G97" s="1" t="str">
        <f t="shared" ca="1" si="30"/>
        <v>Corporate</v>
      </c>
      <c r="H97" s="1" t="str">
        <f t="shared" si="31"/>
        <v>India</v>
      </c>
      <c r="I97" s="1" t="str">
        <f t="shared" ca="1" si="32"/>
        <v>North</v>
      </c>
      <c r="J97" s="1" t="str">
        <f t="shared" ca="1" si="33"/>
        <v>Karnataka</v>
      </c>
      <c r="K97" s="1" t="str">
        <f t="shared" ca="1" si="34"/>
        <v>Bangalore</v>
      </c>
      <c r="L97" s="1" t="str">
        <f t="shared" ca="1" si="35"/>
        <v>Furniture</v>
      </c>
      <c r="M97" s="1" t="str">
        <f t="shared" ca="1" si="36"/>
        <v>Chair</v>
      </c>
      <c r="N97" s="1" t="str">
        <f t="shared" ca="1" si="37"/>
        <v>Office Chair</v>
      </c>
      <c r="O97" s="1">
        <f t="shared" ca="1" si="38"/>
        <v>38605</v>
      </c>
      <c r="P97" s="1">
        <f t="shared" ca="1" si="39"/>
        <v>1</v>
      </c>
      <c r="Q97" s="19">
        <f t="shared" ca="1" si="40"/>
        <v>0.3</v>
      </c>
      <c r="R97" s="1">
        <f t="shared" ca="1" si="41"/>
        <v>-4632.5999999999995</v>
      </c>
      <c r="S97" s="1">
        <f t="shared" ca="1" si="24"/>
        <v>0</v>
      </c>
      <c r="T97" s="19">
        <f t="shared" ca="1" si="25"/>
        <v>-0.11999999999999998</v>
      </c>
      <c r="U97" s="1" t="str">
        <f t="shared" ca="1" si="26"/>
        <v>High Discount</v>
      </c>
    </row>
    <row r="98" spans="1:21" ht="15.6" customHeight="1" x14ac:dyDescent="0.3">
      <c r="A98" s="1" t="str">
        <f t="shared" si="21"/>
        <v>ORD-97</v>
      </c>
      <c r="B98" s="10">
        <f t="shared" ca="1" si="22"/>
        <v>45454</v>
      </c>
      <c r="C98" s="7">
        <f t="shared" ca="1" si="23"/>
        <v>45459</v>
      </c>
      <c r="D98" s="1" t="str">
        <f t="shared" ca="1" si="27"/>
        <v>Same Day</v>
      </c>
      <c r="E98" s="1" t="str">
        <f t="shared" ca="1" si="28"/>
        <v>CU-892</v>
      </c>
      <c r="F98" s="1" t="str">
        <f t="shared" ca="1" si="29"/>
        <v>Pooja Yadav</v>
      </c>
      <c r="G98" s="1" t="str">
        <f t="shared" ca="1" si="30"/>
        <v>Consumer</v>
      </c>
      <c r="H98" s="1" t="str">
        <f t="shared" si="31"/>
        <v>India</v>
      </c>
      <c r="I98" s="1" t="str">
        <f t="shared" ca="1" si="32"/>
        <v>North</v>
      </c>
      <c r="J98" s="1" t="str">
        <f t="shared" ca="1" si="33"/>
        <v>West Bengal</v>
      </c>
      <c r="K98" s="1" t="str">
        <f t="shared" ca="1" si="34"/>
        <v>Delhi</v>
      </c>
      <c r="L98" s="1" t="str">
        <f t="shared" ca="1" si="35"/>
        <v>Office Supplies</v>
      </c>
      <c r="M98" s="1" t="str">
        <f t="shared" ca="1" si="36"/>
        <v>Mobile</v>
      </c>
      <c r="N98" s="1" t="str">
        <f t="shared" ca="1" si="37"/>
        <v>Office Chair</v>
      </c>
      <c r="O98" s="1">
        <f t="shared" ca="1" si="38"/>
        <v>37224</v>
      </c>
      <c r="P98" s="1">
        <f t="shared" ca="1" si="39"/>
        <v>10</v>
      </c>
      <c r="Q98" s="19">
        <f t="shared" ca="1" si="40"/>
        <v>0.05</v>
      </c>
      <c r="R98" s="1">
        <f t="shared" ca="1" si="41"/>
        <v>4839.12</v>
      </c>
      <c r="S98" s="1">
        <f t="shared" ca="1" si="24"/>
        <v>5</v>
      </c>
      <c r="T98" s="19">
        <f t="shared" ca="1" si="25"/>
        <v>0.13</v>
      </c>
      <c r="U98" s="1" t="str">
        <f t="shared" ca="1" si="26"/>
        <v>Low Discount</v>
      </c>
    </row>
    <row r="99" spans="1:21" ht="15.6" customHeight="1" x14ac:dyDescent="0.3">
      <c r="A99" s="1" t="str">
        <f t="shared" si="21"/>
        <v>ORD-98</v>
      </c>
      <c r="B99" s="10">
        <f t="shared" ca="1" si="22"/>
        <v>45396</v>
      </c>
      <c r="C99" s="7">
        <f t="shared" ca="1" si="23"/>
        <v>45399</v>
      </c>
      <c r="D99" s="1" t="str">
        <f t="shared" ca="1" si="27"/>
        <v>Same Day</v>
      </c>
      <c r="E99" s="1" t="str">
        <f t="shared" ca="1" si="28"/>
        <v>CU-424</v>
      </c>
      <c r="F99" s="1" t="str">
        <f t="shared" ca="1" si="29"/>
        <v>Arjun Malhotra</v>
      </c>
      <c r="G99" s="1" t="str">
        <f t="shared" ca="1" si="30"/>
        <v>Corporate</v>
      </c>
      <c r="H99" s="1" t="str">
        <f t="shared" si="31"/>
        <v>India</v>
      </c>
      <c r="I99" s="1" t="str">
        <f t="shared" ca="1" si="32"/>
        <v>North</v>
      </c>
      <c r="J99" s="1" t="str">
        <f t="shared" ca="1" si="33"/>
        <v>Gujarat</v>
      </c>
      <c r="K99" s="1" t="str">
        <f t="shared" ca="1" si="34"/>
        <v>Ahmedabad</v>
      </c>
      <c r="L99" s="1" t="str">
        <f t="shared" ca="1" si="35"/>
        <v>Office Supplies</v>
      </c>
      <c r="M99" s="1" t="str">
        <f t="shared" ca="1" si="36"/>
        <v>Paper</v>
      </c>
      <c r="N99" s="1" t="str">
        <f t="shared" ca="1" si="37"/>
        <v>Wireless Mouse</v>
      </c>
      <c r="O99" s="1">
        <f t="shared" ca="1" si="38"/>
        <v>9827</v>
      </c>
      <c r="P99" s="1">
        <f t="shared" ca="1" si="39"/>
        <v>1</v>
      </c>
      <c r="Q99" s="19">
        <f t="shared" ca="1" si="40"/>
        <v>0.3</v>
      </c>
      <c r="R99" s="1">
        <f t="shared" ca="1" si="41"/>
        <v>-1179.24</v>
      </c>
      <c r="S99" s="1">
        <f t="shared" ca="1" si="24"/>
        <v>3</v>
      </c>
      <c r="T99" s="19">
        <f t="shared" ca="1" si="25"/>
        <v>-0.12</v>
      </c>
      <c r="U99" s="1" t="str">
        <f t="shared" ca="1" si="26"/>
        <v>High Discount</v>
      </c>
    </row>
    <row r="100" spans="1:21" ht="15.6" customHeight="1" x14ac:dyDescent="0.3">
      <c r="A100" s="1" t="str">
        <f t="shared" si="21"/>
        <v>ORD-99</v>
      </c>
      <c r="B100" s="10">
        <f t="shared" ca="1" si="22"/>
        <v>45545</v>
      </c>
      <c r="C100" s="7">
        <f t="shared" ca="1" si="23"/>
        <v>45548</v>
      </c>
      <c r="D100" s="1" t="str">
        <f t="shared" ca="1" si="27"/>
        <v>Second Class</v>
      </c>
      <c r="E100" s="1" t="str">
        <f t="shared" ca="1" si="28"/>
        <v>CU-990</v>
      </c>
      <c r="F100" s="1" t="str">
        <f t="shared" ca="1" si="29"/>
        <v>Sunil Kumar</v>
      </c>
      <c r="G100" s="1" t="str">
        <f t="shared" ca="1" si="30"/>
        <v>Consumer</v>
      </c>
      <c r="H100" s="1" t="str">
        <f t="shared" si="31"/>
        <v>India</v>
      </c>
      <c r="I100" s="1" t="str">
        <f t="shared" ca="1" si="32"/>
        <v>West</v>
      </c>
      <c r="J100" s="1" t="str">
        <f t="shared" ca="1" si="33"/>
        <v>Karnataka</v>
      </c>
      <c r="K100" s="1" t="str">
        <f t="shared" ca="1" si="34"/>
        <v>Ahmedabad</v>
      </c>
      <c r="L100" s="1" t="str">
        <f t="shared" ca="1" si="35"/>
        <v>Furniture</v>
      </c>
      <c r="M100" s="1" t="str">
        <f t="shared" ca="1" si="36"/>
        <v>Laptop</v>
      </c>
      <c r="N100" s="1" t="str">
        <f t="shared" ca="1" si="37"/>
        <v>Samsung Galaxy</v>
      </c>
      <c r="O100" s="1">
        <f t="shared" ca="1" si="38"/>
        <v>9230</v>
      </c>
      <c r="P100" s="1">
        <f t="shared" ca="1" si="39"/>
        <v>1</v>
      </c>
      <c r="Q100" s="19">
        <f t="shared" ca="1" si="40"/>
        <v>0</v>
      </c>
      <c r="R100" s="1">
        <f t="shared" ca="1" si="41"/>
        <v>1661.3999999999999</v>
      </c>
      <c r="S100" s="1">
        <f t="shared" ca="1" si="24"/>
        <v>3</v>
      </c>
      <c r="T100" s="19">
        <f t="shared" ca="1" si="25"/>
        <v>0.18</v>
      </c>
      <c r="U100" s="1" t="str">
        <f t="shared" ca="1" si="26"/>
        <v>Low Discount</v>
      </c>
    </row>
    <row r="101" spans="1:21" ht="15.6" customHeight="1" x14ac:dyDescent="0.3">
      <c r="A101" s="1" t="str">
        <f t="shared" si="21"/>
        <v>ORD-100</v>
      </c>
      <c r="B101" s="10">
        <f t="shared" ca="1" si="22"/>
        <v>45584</v>
      </c>
      <c r="C101" s="7">
        <f t="shared" ca="1" si="23"/>
        <v>45585</v>
      </c>
      <c r="D101" s="1" t="str">
        <f t="shared" ca="1" si="27"/>
        <v>Standard Class</v>
      </c>
      <c r="E101" s="1" t="str">
        <f t="shared" ca="1" si="28"/>
        <v>CU-217</v>
      </c>
      <c r="F101" s="1" t="str">
        <f t="shared" ca="1" si="29"/>
        <v>Pooja Yadav</v>
      </c>
      <c r="G101" s="1" t="str">
        <f t="shared" ca="1" si="30"/>
        <v>Corporate</v>
      </c>
      <c r="H101" s="1" t="str">
        <f t="shared" si="31"/>
        <v>India</v>
      </c>
      <c r="I101" s="1" t="str">
        <f t="shared" ca="1" si="32"/>
        <v>East</v>
      </c>
      <c r="J101" s="1" t="str">
        <f t="shared" ca="1" si="33"/>
        <v>Maharashtra</v>
      </c>
      <c r="K101" s="1" t="str">
        <f t="shared" ca="1" si="34"/>
        <v>Mumbai</v>
      </c>
      <c r="L101" s="1" t="str">
        <f t="shared" ca="1" si="35"/>
        <v>Office Supplies</v>
      </c>
      <c r="M101" s="1" t="str">
        <f t="shared" ca="1" si="36"/>
        <v>Laptop</v>
      </c>
      <c r="N101" s="1" t="str">
        <f t="shared" ca="1" si="37"/>
        <v>Wireless Mouse</v>
      </c>
      <c r="O101" s="1">
        <f t="shared" ca="1" si="38"/>
        <v>25904</v>
      </c>
      <c r="P101" s="1">
        <f t="shared" ca="1" si="39"/>
        <v>2</v>
      </c>
      <c r="Q101" s="19">
        <f t="shared" ca="1" si="40"/>
        <v>0.3</v>
      </c>
      <c r="R101" s="1">
        <f t="shared" ca="1" si="41"/>
        <v>-3108.48</v>
      </c>
      <c r="S101" s="1">
        <f t="shared" ca="1" si="24"/>
        <v>1</v>
      </c>
      <c r="T101" s="19">
        <f t="shared" ca="1" si="25"/>
        <v>-0.12</v>
      </c>
      <c r="U101" s="1" t="str">
        <f t="shared" ca="1" si="26"/>
        <v>High Discount</v>
      </c>
    </row>
    <row r="102" spans="1:21" ht="15.6" customHeight="1" x14ac:dyDescent="0.3">
      <c r="A102" s="1" t="str">
        <f t="shared" si="21"/>
        <v>ORD-101</v>
      </c>
      <c r="B102" s="10">
        <f t="shared" ca="1" si="22"/>
        <v>45384</v>
      </c>
      <c r="C102" s="7">
        <f t="shared" ca="1" si="23"/>
        <v>45385</v>
      </c>
      <c r="D102" s="1" t="str">
        <f t="shared" ca="1" si="27"/>
        <v>Second Class</v>
      </c>
      <c r="E102" s="1" t="str">
        <f t="shared" ca="1" si="28"/>
        <v>CU-569</v>
      </c>
      <c r="F102" s="1" t="str">
        <f t="shared" ca="1" si="29"/>
        <v>Ravi Mehta</v>
      </c>
      <c r="G102" s="1" t="str">
        <f t="shared" ca="1" si="30"/>
        <v>Corporate</v>
      </c>
      <c r="H102" s="1" t="str">
        <f t="shared" si="31"/>
        <v>India</v>
      </c>
      <c r="I102" s="1" t="str">
        <f t="shared" ca="1" si="32"/>
        <v>East</v>
      </c>
      <c r="J102" s="1" t="str">
        <f t="shared" ca="1" si="33"/>
        <v>Maharashtra</v>
      </c>
      <c r="K102" s="1" t="str">
        <f t="shared" ca="1" si="34"/>
        <v>Ahmedabad</v>
      </c>
      <c r="L102" s="1" t="str">
        <f t="shared" ca="1" si="35"/>
        <v>Furniture</v>
      </c>
      <c r="M102" s="1" t="str">
        <f t="shared" ca="1" si="36"/>
        <v>Laptop</v>
      </c>
      <c r="N102" s="1" t="str">
        <f t="shared" ca="1" si="37"/>
        <v>Wireless Mouse</v>
      </c>
      <c r="O102" s="1">
        <f t="shared" ca="1" si="38"/>
        <v>34010</v>
      </c>
      <c r="P102" s="1">
        <f t="shared" ca="1" si="39"/>
        <v>8</v>
      </c>
      <c r="Q102" s="19">
        <f t="shared" ca="1" si="40"/>
        <v>0.05</v>
      </c>
      <c r="R102" s="1">
        <f t="shared" ca="1" si="41"/>
        <v>4421.3</v>
      </c>
      <c r="S102" s="1">
        <f t="shared" ca="1" si="24"/>
        <v>1</v>
      </c>
      <c r="T102" s="19">
        <f t="shared" ca="1" si="25"/>
        <v>0.13</v>
      </c>
      <c r="U102" s="1" t="str">
        <f t="shared" ca="1" si="26"/>
        <v>Low Discount</v>
      </c>
    </row>
    <row r="103" spans="1:21" ht="15.6" customHeight="1" x14ac:dyDescent="0.3">
      <c r="A103" s="1" t="str">
        <f t="shared" si="21"/>
        <v>ORD-102</v>
      </c>
      <c r="B103" s="10">
        <f t="shared" ca="1" si="22"/>
        <v>45494</v>
      </c>
      <c r="C103" s="7">
        <f t="shared" ca="1" si="23"/>
        <v>45494</v>
      </c>
      <c r="D103" s="1" t="str">
        <f t="shared" ca="1" si="27"/>
        <v>Same Day</v>
      </c>
      <c r="E103" s="1" t="str">
        <f t="shared" ca="1" si="28"/>
        <v>CU-855</v>
      </c>
      <c r="F103" s="1" t="str">
        <f t="shared" ca="1" si="29"/>
        <v>Arjun Malhotra</v>
      </c>
      <c r="G103" s="1" t="str">
        <f t="shared" ca="1" si="30"/>
        <v>Consumer</v>
      </c>
      <c r="H103" s="1" t="str">
        <f t="shared" si="31"/>
        <v>India</v>
      </c>
      <c r="I103" s="1" t="str">
        <f t="shared" ca="1" si="32"/>
        <v>North</v>
      </c>
      <c r="J103" s="1" t="str">
        <f t="shared" ca="1" si="33"/>
        <v>Gujarat</v>
      </c>
      <c r="K103" s="1" t="str">
        <f t="shared" ca="1" si="34"/>
        <v>Kolkata</v>
      </c>
      <c r="L103" s="1" t="str">
        <f t="shared" ca="1" si="35"/>
        <v>Technology</v>
      </c>
      <c r="M103" s="1" t="str">
        <f t="shared" ca="1" si="36"/>
        <v>Laptop</v>
      </c>
      <c r="N103" s="1" t="str">
        <f t="shared" ca="1" si="37"/>
        <v>Office Table</v>
      </c>
      <c r="O103" s="1">
        <f t="shared" ca="1" si="38"/>
        <v>46019</v>
      </c>
      <c r="P103" s="1">
        <f t="shared" ca="1" si="39"/>
        <v>2</v>
      </c>
      <c r="Q103" s="19">
        <f t="shared" ca="1" si="40"/>
        <v>0.05</v>
      </c>
      <c r="R103" s="1">
        <f t="shared" ca="1" si="41"/>
        <v>5982.47</v>
      </c>
      <c r="S103" s="1">
        <f t="shared" ca="1" si="24"/>
        <v>0</v>
      </c>
      <c r="T103" s="19">
        <f t="shared" ca="1" si="25"/>
        <v>0.13</v>
      </c>
      <c r="U103" s="1" t="str">
        <f t="shared" ca="1" si="26"/>
        <v>Low Discount</v>
      </c>
    </row>
    <row r="104" spans="1:21" ht="15.6" customHeight="1" x14ac:dyDescent="0.3">
      <c r="A104" s="1" t="str">
        <f t="shared" si="21"/>
        <v>ORD-103</v>
      </c>
      <c r="B104" s="10">
        <f t="shared" ca="1" si="22"/>
        <v>45464</v>
      </c>
      <c r="C104" s="7">
        <f t="shared" ca="1" si="23"/>
        <v>45468</v>
      </c>
      <c r="D104" s="1" t="str">
        <f t="shared" ca="1" si="27"/>
        <v>Same Day</v>
      </c>
      <c r="E104" s="1" t="str">
        <f t="shared" ca="1" si="28"/>
        <v>CU-810</v>
      </c>
      <c r="F104" s="1" t="str">
        <f t="shared" ca="1" si="29"/>
        <v>Arjun Malhotra</v>
      </c>
      <c r="G104" s="1" t="str">
        <f t="shared" ca="1" si="30"/>
        <v>Home Office</v>
      </c>
      <c r="H104" s="1" t="str">
        <f t="shared" si="31"/>
        <v>India</v>
      </c>
      <c r="I104" s="1" t="str">
        <f t="shared" ca="1" si="32"/>
        <v>East</v>
      </c>
      <c r="J104" s="1" t="str">
        <f t="shared" ca="1" si="33"/>
        <v>West Bengal</v>
      </c>
      <c r="K104" s="1" t="str">
        <f t="shared" ca="1" si="34"/>
        <v>Delhi</v>
      </c>
      <c r="L104" s="1" t="str">
        <f t="shared" ca="1" si="35"/>
        <v>Furniture</v>
      </c>
      <c r="M104" s="1" t="str">
        <f t="shared" ca="1" si="36"/>
        <v>Table</v>
      </c>
      <c r="N104" s="1" t="str">
        <f t="shared" ca="1" si="37"/>
        <v>A4 Paper</v>
      </c>
      <c r="O104" s="1">
        <f t="shared" ca="1" si="38"/>
        <v>49413</v>
      </c>
      <c r="P104" s="1">
        <f t="shared" ca="1" si="39"/>
        <v>1</v>
      </c>
      <c r="Q104" s="19">
        <f t="shared" ca="1" si="40"/>
        <v>0.2</v>
      </c>
      <c r="R104" s="1">
        <f t="shared" ca="1" si="41"/>
        <v>-988.2600000000009</v>
      </c>
      <c r="S104" s="1">
        <f t="shared" ca="1" si="24"/>
        <v>4</v>
      </c>
      <c r="T104" s="19">
        <f t="shared" ca="1" si="25"/>
        <v>-2.0000000000000018E-2</v>
      </c>
      <c r="U104" s="1" t="str">
        <f t="shared" ca="1" si="26"/>
        <v>High Discount</v>
      </c>
    </row>
    <row r="105" spans="1:21" ht="15.6" customHeight="1" x14ac:dyDescent="0.3">
      <c r="A105" s="1" t="str">
        <f t="shared" si="21"/>
        <v>ORD-104</v>
      </c>
      <c r="B105" s="10">
        <f t="shared" ca="1" si="22"/>
        <v>45305</v>
      </c>
      <c r="C105" s="7">
        <f t="shared" ca="1" si="23"/>
        <v>45309</v>
      </c>
      <c r="D105" s="1" t="str">
        <f t="shared" ca="1" si="27"/>
        <v>Second Class</v>
      </c>
      <c r="E105" s="1" t="str">
        <f t="shared" ca="1" si="28"/>
        <v>CU-514</v>
      </c>
      <c r="F105" s="1" t="str">
        <f t="shared" ca="1" si="29"/>
        <v>Ravi Mehta</v>
      </c>
      <c r="G105" s="1" t="str">
        <f t="shared" ca="1" si="30"/>
        <v>Consumer</v>
      </c>
      <c r="H105" s="1" t="str">
        <f t="shared" si="31"/>
        <v>India</v>
      </c>
      <c r="I105" s="1" t="str">
        <f t="shared" ca="1" si="32"/>
        <v>North</v>
      </c>
      <c r="J105" s="1" t="str">
        <f t="shared" ca="1" si="33"/>
        <v>Tamil Nadu</v>
      </c>
      <c r="K105" s="1" t="str">
        <f t="shared" ca="1" si="34"/>
        <v>Mumbai</v>
      </c>
      <c r="L105" s="1" t="str">
        <f t="shared" ca="1" si="35"/>
        <v>Office Supplies</v>
      </c>
      <c r="M105" s="1" t="str">
        <f t="shared" ca="1" si="36"/>
        <v>Paper</v>
      </c>
      <c r="N105" s="1" t="str">
        <f t="shared" ca="1" si="37"/>
        <v>HP Pavilion</v>
      </c>
      <c r="O105" s="1">
        <f t="shared" ca="1" si="38"/>
        <v>59682</v>
      </c>
      <c r="P105" s="1">
        <f t="shared" ca="1" si="39"/>
        <v>4</v>
      </c>
      <c r="Q105" s="19">
        <f t="shared" ca="1" si="40"/>
        <v>0.2</v>
      </c>
      <c r="R105" s="1">
        <f t="shared" ca="1" si="41"/>
        <v>-1193.640000000001</v>
      </c>
      <c r="S105" s="1">
        <f t="shared" ca="1" si="24"/>
        <v>4</v>
      </c>
      <c r="T105" s="19">
        <f t="shared" ca="1" si="25"/>
        <v>-2.0000000000000018E-2</v>
      </c>
      <c r="U105" s="1" t="str">
        <f t="shared" ca="1" si="26"/>
        <v>High Discount</v>
      </c>
    </row>
    <row r="106" spans="1:21" ht="15.6" customHeight="1" x14ac:dyDescent="0.3">
      <c r="A106" s="1" t="str">
        <f t="shared" si="21"/>
        <v>ORD-105</v>
      </c>
      <c r="B106" s="10">
        <f t="shared" ca="1" si="22"/>
        <v>45628</v>
      </c>
      <c r="C106" s="7">
        <f t="shared" ca="1" si="23"/>
        <v>45630</v>
      </c>
      <c r="D106" s="1" t="str">
        <f t="shared" ca="1" si="27"/>
        <v>Second Class</v>
      </c>
      <c r="E106" s="1" t="str">
        <f t="shared" ca="1" si="28"/>
        <v>CU-402</v>
      </c>
      <c r="F106" s="1" t="str">
        <f t="shared" ca="1" si="29"/>
        <v>Amit Verma</v>
      </c>
      <c r="G106" s="1" t="str">
        <f t="shared" ca="1" si="30"/>
        <v>Corporate</v>
      </c>
      <c r="H106" s="1" t="str">
        <f t="shared" si="31"/>
        <v>India</v>
      </c>
      <c r="I106" s="1" t="str">
        <f t="shared" ca="1" si="32"/>
        <v>North</v>
      </c>
      <c r="J106" s="1" t="str">
        <f t="shared" ca="1" si="33"/>
        <v>Maharashtra</v>
      </c>
      <c r="K106" s="1" t="str">
        <f t="shared" ca="1" si="34"/>
        <v>Bangalore</v>
      </c>
      <c r="L106" s="1" t="str">
        <f t="shared" ca="1" si="35"/>
        <v>Office Supplies</v>
      </c>
      <c r="M106" s="1" t="str">
        <f t="shared" ca="1" si="36"/>
        <v>Paper</v>
      </c>
      <c r="N106" s="1" t="str">
        <f t="shared" ca="1" si="37"/>
        <v>HP Pavilion</v>
      </c>
      <c r="O106" s="1">
        <f t="shared" ca="1" si="38"/>
        <v>6758</v>
      </c>
      <c r="P106" s="1">
        <f t="shared" ca="1" si="39"/>
        <v>2</v>
      </c>
      <c r="Q106" s="19">
        <f t="shared" ca="1" si="40"/>
        <v>0</v>
      </c>
      <c r="R106" s="1">
        <f t="shared" ca="1" si="41"/>
        <v>1216.44</v>
      </c>
      <c r="S106" s="1">
        <f t="shared" ca="1" si="24"/>
        <v>2</v>
      </c>
      <c r="T106" s="19">
        <f t="shared" ca="1" si="25"/>
        <v>0.18000000000000002</v>
      </c>
      <c r="U106" s="1" t="str">
        <f t="shared" ca="1" si="26"/>
        <v>Low Discount</v>
      </c>
    </row>
    <row r="107" spans="1:21" ht="15.6" customHeight="1" x14ac:dyDescent="0.3">
      <c r="A107" s="1" t="str">
        <f t="shared" si="21"/>
        <v>ORD-106</v>
      </c>
      <c r="B107" s="10">
        <f t="shared" ca="1" si="22"/>
        <v>45429</v>
      </c>
      <c r="C107" s="7">
        <f t="shared" ca="1" si="23"/>
        <v>45431</v>
      </c>
      <c r="D107" s="1" t="str">
        <f t="shared" ca="1" si="27"/>
        <v>Standard Class</v>
      </c>
      <c r="E107" s="1" t="str">
        <f t="shared" ca="1" si="28"/>
        <v>CU-710</v>
      </c>
      <c r="F107" s="1" t="str">
        <f t="shared" ca="1" si="29"/>
        <v>Priya Singh</v>
      </c>
      <c r="G107" s="1" t="str">
        <f t="shared" ca="1" si="30"/>
        <v>Corporate</v>
      </c>
      <c r="H107" s="1" t="str">
        <f t="shared" si="31"/>
        <v>India</v>
      </c>
      <c r="I107" s="1" t="str">
        <f t="shared" ca="1" si="32"/>
        <v>East</v>
      </c>
      <c r="J107" s="1" t="str">
        <f t="shared" ca="1" si="33"/>
        <v>West Bengal</v>
      </c>
      <c r="K107" s="1" t="str">
        <f t="shared" ca="1" si="34"/>
        <v>Kolkata</v>
      </c>
      <c r="L107" s="1" t="str">
        <f t="shared" ca="1" si="35"/>
        <v>Technology</v>
      </c>
      <c r="M107" s="1" t="str">
        <f t="shared" ca="1" si="36"/>
        <v>Paper</v>
      </c>
      <c r="N107" s="1" t="str">
        <f t="shared" ca="1" si="37"/>
        <v>Office Chair</v>
      </c>
      <c r="O107" s="1">
        <f t="shared" ca="1" si="38"/>
        <v>1919</v>
      </c>
      <c r="P107" s="1">
        <f t="shared" ca="1" si="39"/>
        <v>3</v>
      </c>
      <c r="Q107" s="19">
        <f t="shared" ca="1" si="40"/>
        <v>0.05</v>
      </c>
      <c r="R107" s="1">
        <f t="shared" ca="1" si="41"/>
        <v>249.47</v>
      </c>
      <c r="S107" s="1">
        <f t="shared" ca="1" si="24"/>
        <v>2</v>
      </c>
      <c r="T107" s="19">
        <f t="shared" ca="1" si="25"/>
        <v>0.13</v>
      </c>
      <c r="U107" s="1" t="str">
        <f t="shared" ca="1" si="26"/>
        <v>Low Discount</v>
      </c>
    </row>
    <row r="108" spans="1:21" ht="15.6" customHeight="1" x14ac:dyDescent="0.3">
      <c r="A108" s="1" t="str">
        <f t="shared" si="21"/>
        <v>ORD-107</v>
      </c>
      <c r="B108" s="10">
        <f t="shared" ca="1" si="22"/>
        <v>45298</v>
      </c>
      <c r="C108" s="7">
        <f t="shared" ca="1" si="23"/>
        <v>45302</v>
      </c>
      <c r="D108" s="1" t="str">
        <f t="shared" ca="1" si="27"/>
        <v>Standard Class</v>
      </c>
      <c r="E108" s="1" t="str">
        <f t="shared" ca="1" si="28"/>
        <v>CU-166</v>
      </c>
      <c r="F108" s="1" t="str">
        <f t="shared" ca="1" si="29"/>
        <v>Priya Singh</v>
      </c>
      <c r="G108" s="1" t="str">
        <f t="shared" ca="1" si="30"/>
        <v>Home Office</v>
      </c>
      <c r="H108" s="1" t="str">
        <f t="shared" si="31"/>
        <v>India</v>
      </c>
      <c r="I108" s="1" t="str">
        <f t="shared" ca="1" si="32"/>
        <v>North</v>
      </c>
      <c r="J108" s="1" t="str">
        <f t="shared" ca="1" si="33"/>
        <v>Tamil Nadu</v>
      </c>
      <c r="K108" s="1" t="str">
        <f t="shared" ca="1" si="34"/>
        <v>Bangalore</v>
      </c>
      <c r="L108" s="1" t="str">
        <f t="shared" ca="1" si="35"/>
        <v>Technology</v>
      </c>
      <c r="M108" s="1" t="str">
        <f t="shared" ca="1" si="36"/>
        <v>Chair</v>
      </c>
      <c r="N108" s="1" t="str">
        <f t="shared" ca="1" si="37"/>
        <v>HP Pavilion</v>
      </c>
      <c r="O108" s="1">
        <f t="shared" ca="1" si="38"/>
        <v>55969</v>
      </c>
      <c r="P108" s="1">
        <f t="shared" ca="1" si="39"/>
        <v>2</v>
      </c>
      <c r="Q108" s="19">
        <f t="shared" ca="1" si="40"/>
        <v>0.2</v>
      </c>
      <c r="R108" s="1">
        <f t="shared" ca="1" si="41"/>
        <v>-1119.380000000001</v>
      </c>
      <c r="S108" s="1">
        <f t="shared" ca="1" si="24"/>
        <v>4</v>
      </c>
      <c r="T108" s="19">
        <f t="shared" ca="1" si="25"/>
        <v>-2.0000000000000018E-2</v>
      </c>
      <c r="U108" s="1" t="str">
        <f t="shared" ca="1" si="26"/>
        <v>High Discount</v>
      </c>
    </row>
    <row r="109" spans="1:21" ht="15.6" customHeight="1" x14ac:dyDescent="0.3">
      <c r="A109" s="1" t="str">
        <f t="shared" si="21"/>
        <v>ORD-108</v>
      </c>
      <c r="B109" s="10">
        <f t="shared" ca="1" si="22"/>
        <v>45438</v>
      </c>
      <c r="C109" s="7">
        <f t="shared" ca="1" si="23"/>
        <v>45443</v>
      </c>
      <c r="D109" s="1" t="str">
        <f t="shared" ca="1" si="27"/>
        <v>Same Day</v>
      </c>
      <c r="E109" s="1" t="str">
        <f t="shared" ca="1" si="28"/>
        <v>CU-632</v>
      </c>
      <c r="F109" s="1" t="str">
        <f t="shared" ca="1" si="29"/>
        <v>Rahul Sharma</v>
      </c>
      <c r="G109" s="1" t="str">
        <f t="shared" ca="1" si="30"/>
        <v>Corporate</v>
      </c>
      <c r="H109" s="1" t="str">
        <f t="shared" si="31"/>
        <v>India</v>
      </c>
      <c r="I109" s="1" t="str">
        <f t="shared" ca="1" si="32"/>
        <v>South</v>
      </c>
      <c r="J109" s="1" t="str">
        <f t="shared" ca="1" si="33"/>
        <v>West Bengal</v>
      </c>
      <c r="K109" s="1" t="str">
        <f t="shared" ca="1" si="34"/>
        <v>Ahmedabad</v>
      </c>
      <c r="L109" s="1" t="str">
        <f t="shared" ca="1" si="35"/>
        <v>Office Supplies</v>
      </c>
      <c r="M109" s="1" t="str">
        <f t="shared" ca="1" si="36"/>
        <v>Chair</v>
      </c>
      <c r="N109" s="1" t="str">
        <f t="shared" ca="1" si="37"/>
        <v>Office Table</v>
      </c>
      <c r="O109" s="1">
        <f t="shared" ca="1" si="38"/>
        <v>41821</v>
      </c>
      <c r="P109" s="1">
        <f t="shared" ca="1" si="39"/>
        <v>7</v>
      </c>
      <c r="Q109" s="19">
        <f t="shared" ca="1" si="40"/>
        <v>0.1</v>
      </c>
      <c r="R109" s="1">
        <f t="shared" ca="1" si="41"/>
        <v>3345.6799999999994</v>
      </c>
      <c r="S109" s="1">
        <f t="shared" ca="1" si="24"/>
        <v>5</v>
      </c>
      <c r="T109" s="19">
        <f t="shared" ca="1" si="25"/>
        <v>7.9999999999999988E-2</v>
      </c>
      <c r="U109" s="1" t="str">
        <f t="shared" ca="1" si="26"/>
        <v>Low Discount</v>
      </c>
    </row>
    <row r="110" spans="1:21" ht="15.6" customHeight="1" x14ac:dyDescent="0.3">
      <c r="A110" s="1" t="str">
        <f t="shared" si="21"/>
        <v>ORD-109</v>
      </c>
      <c r="B110" s="10">
        <f t="shared" ca="1" si="22"/>
        <v>45310</v>
      </c>
      <c r="C110" s="7">
        <f t="shared" ca="1" si="23"/>
        <v>45314</v>
      </c>
      <c r="D110" s="1" t="str">
        <f t="shared" ca="1" si="27"/>
        <v>Same Day</v>
      </c>
      <c r="E110" s="1" t="str">
        <f t="shared" ca="1" si="28"/>
        <v>CU-627</v>
      </c>
      <c r="F110" s="1" t="str">
        <f t="shared" ca="1" si="29"/>
        <v>Rahul Sharma</v>
      </c>
      <c r="G110" s="1" t="str">
        <f t="shared" ca="1" si="30"/>
        <v>Consumer</v>
      </c>
      <c r="H110" s="1" t="str">
        <f t="shared" si="31"/>
        <v>India</v>
      </c>
      <c r="I110" s="1" t="str">
        <f t="shared" ca="1" si="32"/>
        <v>South</v>
      </c>
      <c r="J110" s="1" t="str">
        <f t="shared" ca="1" si="33"/>
        <v>Karnataka</v>
      </c>
      <c r="K110" s="1" t="str">
        <f t="shared" ca="1" si="34"/>
        <v>Bangalore</v>
      </c>
      <c r="L110" s="1" t="str">
        <f t="shared" ca="1" si="35"/>
        <v>Office Supplies</v>
      </c>
      <c r="M110" s="1" t="str">
        <f t="shared" ca="1" si="36"/>
        <v>Chair</v>
      </c>
      <c r="N110" s="1" t="str">
        <f t="shared" ca="1" si="37"/>
        <v>A4 Paper</v>
      </c>
      <c r="O110" s="1">
        <f t="shared" ca="1" si="38"/>
        <v>22134</v>
      </c>
      <c r="P110" s="1">
        <f t="shared" ca="1" si="39"/>
        <v>8</v>
      </c>
      <c r="Q110" s="19">
        <f t="shared" ca="1" si="40"/>
        <v>0</v>
      </c>
      <c r="R110" s="1">
        <f t="shared" ca="1" si="41"/>
        <v>3984.12</v>
      </c>
      <c r="S110" s="1">
        <f t="shared" ca="1" si="24"/>
        <v>4</v>
      </c>
      <c r="T110" s="19">
        <f t="shared" ca="1" si="25"/>
        <v>0.18</v>
      </c>
      <c r="U110" s="1" t="str">
        <f t="shared" ca="1" si="26"/>
        <v>Low Discount</v>
      </c>
    </row>
    <row r="111" spans="1:21" ht="15.6" customHeight="1" x14ac:dyDescent="0.3">
      <c r="A111" s="1" t="str">
        <f t="shared" si="21"/>
        <v>ORD-110</v>
      </c>
      <c r="B111" s="10">
        <f t="shared" ca="1" si="22"/>
        <v>45298</v>
      </c>
      <c r="C111" s="7">
        <f t="shared" ca="1" si="23"/>
        <v>45300</v>
      </c>
      <c r="D111" s="1" t="str">
        <f t="shared" ca="1" si="27"/>
        <v>Second Class</v>
      </c>
      <c r="E111" s="1" t="str">
        <f t="shared" ca="1" si="28"/>
        <v>CU-770</v>
      </c>
      <c r="F111" s="1" t="str">
        <f t="shared" ca="1" si="29"/>
        <v>Sunil Kumar</v>
      </c>
      <c r="G111" s="1" t="str">
        <f t="shared" ca="1" si="30"/>
        <v>Home Office</v>
      </c>
      <c r="H111" s="1" t="str">
        <f t="shared" si="31"/>
        <v>India</v>
      </c>
      <c r="I111" s="1" t="str">
        <f t="shared" ca="1" si="32"/>
        <v>East</v>
      </c>
      <c r="J111" s="1" t="str">
        <f t="shared" ca="1" si="33"/>
        <v>Tamil Nadu</v>
      </c>
      <c r="K111" s="1" t="str">
        <f t="shared" ca="1" si="34"/>
        <v>Delhi</v>
      </c>
      <c r="L111" s="1" t="str">
        <f t="shared" ca="1" si="35"/>
        <v>Office Supplies</v>
      </c>
      <c r="M111" s="1" t="str">
        <f t="shared" ca="1" si="36"/>
        <v>Chair</v>
      </c>
      <c r="N111" s="1" t="str">
        <f t="shared" ca="1" si="37"/>
        <v>HP Pavilion</v>
      </c>
      <c r="O111" s="1">
        <f t="shared" ca="1" si="38"/>
        <v>17840</v>
      </c>
      <c r="P111" s="1">
        <f t="shared" ca="1" si="39"/>
        <v>2</v>
      </c>
      <c r="Q111" s="19">
        <f t="shared" ca="1" si="40"/>
        <v>0.1</v>
      </c>
      <c r="R111" s="1">
        <f t="shared" ca="1" si="41"/>
        <v>1427.1999999999998</v>
      </c>
      <c r="S111" s="1">
        <f t="shared" ca="1" si="24"/>
        <v>2</v>
      </c>
      <c r="T111" s="19">
        <f t="shared" ca="1" si="25"/>
        <v>7.9999999999999988E-2</v>
      </c>
      <c r="U111" s="1" t="str">
        <f t="shared" ca="1" si="26"/>
        <v>Low Discount</v>
      </c>
    </row>
    <row r="112" spans="1:21" ht="15.6" customHeight="1" x14ac:dyDescent="0.3">
      <c r="A112" s="1" t="str">
        <f t="shared" si="21"/>
        <v>ORD-111</v>
      </c>
      <c r="B112" s="10">
        <f t="shared" ca="1" si="22"/>
        <v>45457</v>
      </c>
      <c r="C112" s="7">
        <f t="shared" ca="1" si="23"/>
        <v>45457</v>
      </c>
      <c r="D112" s="1" t="str">
        <f t="shared" ca="1" si="27"/>
        <v>Standard Class</v>
      </c>
      <c r="E112" s="1" t="str">
        <f t="shared" ca="1" si="28"/>
        <v>CU-855</v>
      </c>
      <c r="F112" s="1" t="str">
        <f t="shared" ca="1" si="29"/>
        <v>Priya Singh</v>
      </c>
      <c r="G112" s="1" t="str">
        <f t="shared" ca="1" si="30"/>
        <v>Consumer</v>
      </c>
      <c r="H112" s="1" t="str">
        <f t="shared" si="31"/>
        <v>India</v>
      </c>
      <c r="I112" s="1" t="str">
        <f t="shared" ca="1" si="32"/>
        <v>West</v>
      </c>
      <c r="J112" s="1" t="str">
        <f t="shared" ca="1" si="33"/>
        <v>West Bengal</v>
      </c>
      <c r="K112" s="1" t="str">
        <f t="shared" ca="1" si="34"/>
        <v>Mumbai</v>
      </c>
      <c r="L112" s="1" t="str">
        <f t="shared" ca="1" si="35"/>
        <v>Technology</v>
      </c>
      <c r="M112" s="1" t="str">
        <f t="shared" ca="1" si="36"/>
        <v>Chair</v>
      </c>
      <c r="N112" s="1" t="str">
        <f t="shared" ca="1" si="37"/>
        <v>Office Table</v>
      </c>
      <c r="O112" s="1">
        <f t="shared" ca="1" si="38"/>
        <v>18436</v>
      </c>
      <c r="P112" s="1">
        <f t="shared" ca="1" si="39"/>
        <v>8</v>
      </c>
      <c r="Q112" s="19">
        <f t="shared" ca="1" si="40"/>
        <v>0.2</v>
      </c>
      <c r="R112" s="1">
        <f t="shared" ca="1" si="41"/>
        <v>-368.72000000000031</v>
      </c>
      <c r="S112" s="1">
        <f t="shared" ca="1" si="24"/>
        <v>0</v>
      </c>
      <c r="T112" s="19">
        <f t="shared" ca="1" si="25"/>
        <v>-2.0000000000000018E-2</v>
      </c>
      <c r="U112" s="1" t="str">
        <f t="shared" ca="1" si="26"/>
        <v>High Discount</v>
      </c>
    </row>
    <row r="113" spans="1:21" ht="15.6" customHeight="1" x14ac:dyDescent="0.3">
      <c r="A113" s="1" t="str">
        <f t="shared" si="21"/>
        <v>ORD-112</v>
      </c>
      <c r="B113" s="10">
        <f t="shared" ca="1" si="22"/>
        <v>45395</v>
      </c>
      <c r="C113" s="7">
        <f t="shared" ca="1" si="23"/>
        <v>45396</v>
      </c>
      <c r="D113" s="1" t="str">
        <f t="shared" ca="1" si="27"/>
        <v>Same Day</v>
      </c>
      <c r="E113" s="1" t="str">
        <f t="shared" ca="1" si="28"/>
        <v>CU-511</v>
      </c>
      <c r="F113" s="1" t="str">
        <f t="shared" ca="1" si="29"/>
        <v>Ravi Mehta</v>
      </c>
      <c r="G113" s="1" t="str">
        <f t="shared" ca="1" si="30"/>
        <v>Home Office</v>
      </c>
      <c r="H113" s="1" t="str">
        <f t="shared" si="31"/>
        <v>India</v>
      </c>
      <c r="I113" s="1" t="str">
        <f t="shared" ca="1" si="32"/>
        <v>North</v>
      </c>
      <c r="J113" s="1" t="str">
        <f t="shared" ca="1" si="33"/>
        <v>Karnataka</v>
      </c>
      <c r="K113" s="1" t="str">
        <f t="shared" ca="1" si="34"/>
        <v>Ahmedabad</v>
      </c>
      <c r="L113" s="1" t="str">
        <f t="shared" ca="1" si="35"/>
        <v>Office Supplies</v>
      </c>
      <c r="M113" s="1" t="str">
        <f t="shared" ca="1" si="36"/>
        <v>Table</v>
      </c>
      <c r="N113" s="1" t="str">
        <f t="shared" ca="1" si="37"/>
        <v>HP Pavilion</v>
      </c>
      <c r="O113" s="1">
        <f t="shared" ca="1" si="38"/>
        <v>57333</v>
      </c>
      <c r="P113" s="1">
        <f t="shared" ca="1" si="39"/>
        <v>5</v>
      </c>
      <c r="Q113" s="19">
        <f t="shared" ca="1" si="40"/>
        <v>0.2</v>
      </c>
      <c r="R113" s="1">
        <f t="shared" ca="1" si="41"/>
        <v>-1146.660000000001</v>
      </c>
      <c r="S113" s="1">
        <f t="shared" ca="1" si="24"/>
        <v>1</v>
      </c>
      <c r="T113" s="19">
        <f t="shared" ca="1" si="25"/>
        <v>-2.0000000000000018E-2</v>
      </c>
      <c r="U113" s="1" t="str">
        <f t="shared" ca="1" si="26"/>
        <v>High Discount</v>
      </c>
    </row>
    <row r="114" spans="1:21" ht="15.6" customHeight="1" x14ac:dyDescent="0.3">
      <c r="A114" s="1" t="str">
        <f t="shared" si="21"/>
        <v>ORD-113</v>
      </c>
      <c r="B114" s="10">
        <f t="shared" ca="1" si="22"/>
        <v>45548</v>
      </c>
      <c r="C114" s="7">
        <f t="shared" ca="1" si="23"/>
        <v>45553</v>
      </c>
      <c r="D114" s="1" t="str">
        <f t="shared" ca="1" si="27"/>
        <v>Second Class</v>
      </c>
      <c r="E114" s="1" t="str">
        <f t="shared" ca="1" si="28"/>
        <v>CU-106</v>
      </c>
      <c r="F114" s="1" t="str">
        <f t="shared" ca="1" si="29"/>
        <v>Priya Singh</v>
      </c>
      <c r="G114" s="1" t="str">
        <f t="shared" ca="1" si="30"/>
        <v>Consumer</v>
      </c>
      <c r="H114" s="1" t="str">
        <f t="shared" si="31"/>
        <v>India</v>
      </c>
      <c r="I114" s="1" t="str">
        <f t="shared" ca="1" si="32"/>
        <v>North</v>
      </c>
      <c r="J114" s="1" t="str">
        <f t="shared" ca="1" si="33"/>
        <v>Maharashtra</v>
      </c>
      <c r="K114" s="1" t="str">
        <f t="shared" ca="1" si="34"/>
        <v>Kolkata</v>
      </c>
      <c r="L114" s="1" t="str">
        <f t="shared" ca="1" si="35"/>
        <v>Furniture</v>
      </c>
      <c r="M114" s="1" t="str">
        <f t="shared" ca="1" si="36"/>
        <v>Laptop</v>
      </c>
      <c r="N114" s="1" t="str">
        <f t="shared" ca="1" si="37"/>
        <v>A4 Paper</v>
      </c>
      <c r="O114" s="1">
        <f t="shared" ca="1" si="38"/>
        <v>4159</v>
      </c>
      <c r="P114" s="1">
        <f t="shared" ca="1" si="39"/>
        <v>3</v>
      </c>
      <c r="Q114" s="19">
        <f t="shared" ca="1" si="40"/>
        <v>0.05</v>
      </c>
      <c r="R114" s="1">
        <f t="shared" ca="1" si="41"/>
        <v>540.67000000000007</v>
      </c>
      <c r="S114" s="1">
        <f t="shared" ca="1" si="24"/>
        <v>5</v>
      </c>
      <c r="T114" s="19">
        <f t="shared" ca="1" si="25"/>
        <v>0.13</v>
      </c>
      <c r="U114" s="1" t="str">
        <f t="shared" ca="1" si="26"/>
        <v>Low Discount</v>
      </c>
    </row>
    <row r="115" spans="1:21" ht="15.6" customHeight="1" x14ac:dyDescent="0.3">
      <c r="A115" s="1" t="str">
        <f t="shared" si="21"/>
        <v>ORD-114</v>
      </c>
      <c r="B115" s="10">
        <f t="shared" ca="1" si="22"/>
        <v>45618</v>
      </c>
      <c r="C115" s="7">
        <f t="shared" ca="1" si="23"/>
        <v>45620</v>
      </c>
      <c r="D115" s="1" t="str">
        <f t="shared" ca="1" si="27"/>
        <v>Standard Class</v>
      </c>
      <c r="E115" s="1" t="str">
        <f t="shared" ca="1" si="28"/>
        <v>CU-329</v>
      </c>
      <c r="F115" s="1" t="str">
        <f t="shared" ca="1" si="29"/>
        <v>Pooja Yadav</v>
      </c>
      <c r="G115" s="1" t="str">
        <f t="shared" ca="1" si="30"/>
        <v>Consumer</v>
      </c>
      <c r="H115" s="1" t="str">
        <f t="shared" si="31"/>
        <v>India</v>
      </c>
      <c r="I115" s="1" t="str">
        <f t="shared" ca="1" si="32"/>
        <v>East</v>
      </c>
      <c r="J115" s="1" t="str">
        <f t="shared" ca="1" si="33"/>
        <v>West Bengal</v>
      </c>
      <c r="K115" s="1" t="str">
        <f t="shared" ca="1" si="34"/>
        <v>Chennai</v>
      </c>
      <c r="L115" s="1" t="str">
        <f t="shared" ca="1" si="35"/>
        <v>Technology</v>
      </c>
      <c r="M115" s="1" t="str">
        <f t="shared" ca="1" si="36"/>
        <v>Chair</v>
      </c>
      <c r="N115" s="1" t="str">
        <f t="shared" ca="1" si="37"/>
        <v>Office Table</v>
      </c>
      <c r="O115" s="1">
        <f t="shared" ca="1" si="38"/>
        <v>57431</v>
      </c>
      <c r="P115" s="1">
        <f t="shared" ca="1" si="39"/>
        <v>8</v>
      </c>
      <c r="Q115" s="19">
        <f t="shared" ca="1" si="40"/>
        <v>0.2</v>
      </c>
      <c r="R115" s="1">
        <f t="shared" ca="1" si="41"/>
        <v>-1148.620000000001</v>
      </c>
      <c r="S115" s="1">
        <f t="shared" ca="1" si="24"/>
        <v>2</v>
      </c>
      <c r="T115" s="19">
        <f t="shared" ca="1" si="25"/>
        <v>-2.0000000000000018E-2</v>
      </c>
      <c r="U115" s="1" t="str">
        <f t="shared" ca="1" si="26"/>
        <v>High Discount</v>
      </c>
    </row>
    <row r="116" spans="1:21" ht="15.6" customHeight="1" x14ac:dyDescent="0.3">
      <c r="A116" s="1" t="str">
        <f t="shared" si="21"/>
        <v>ORD-115</v>
      </c>
      <c r="B116" s="10">
        <f t="shared" ca="1" si="22"/>
        <v>45450</v>
      </c>
      <c r="C116" s="7">
        <f t="shared" ca="1" si="23"/>
        <v>45452</v>
      </c>
      <c r="D116" s="1" t="str">
        <f t="shared" ca="1" si="27"/>
        <v>Same Day</v>
      </c>
      <c r="E116" s="1" t="str">
        <f t="shared" ca="1" si="28"/>
        <v>CU-327</v>
      </c>
      <c r="F116" s="1" t="str">
        <f t="shared" ca="1" si="29"/>
        <v>Ravi Mehta</v>
      </c>
      <c r="G116" s="1" t="str">
        <f t="shared" ca="1" si="30"/>
        <v>Corporate</v>
      </c>
      <c r="H116" s="1" t="str">
        <f t="shared" si="31"/>
        <v>India</v>
      </c>
      <c r="I116" s="1" t="str">
        <f t="shared" ca="1" si="32"/>
        <v>North</v>
      </c>
      <c r="J116" s="1" t="str">
        <f t="shared" ca="1" si="33"/>
        <v>Delhi</v>
      </c>
      <c r="K116" s="1" t="str">
        <f t="shared" ca="1" si="34"/>
        <v>Mumbai</v>
      </c>
      <c r="L116" s="1" t="str">
        <f t="shared" ca="1" si="35"/>
        <v>Furniture</v>
      </c>
      <c r="M116" s="1" t="str">
        <f t="shared" ca="1" si="36"/>
        <v>Laptop</v>
      </c>
      <c r="N116" s="1" t="str">
        <f t="shared" ca="1" si="37"/>
        <v>HP Pavilion</v>
      </c>
      <c r="O116" s="1">
        <f t="shared" ca="1" si="38"/>
        <v>55734</v>
      </c>
      <c r="P116" s="1">
        <f t="shared" ca="1" si="39"/>
        <v>5</v>
      </c>
      <c r="Q116" s="19">
        <f t="shared" ca="1" si="40"/>
        <v>0.05</v>
      </c>
      <c r="R116" s="1">
        <f t="shared" ca="1" si="41"/>
        <v>7245.42</v>
      </c>
      <c r="S116" s="1">
        <f t="shared" ca="1" si="24"/>
        <v>2</v>
      </c>
      <c r="T116" s="19">
        <f t="shared" ca="1" si="25"/>
        <v>0.13</v>
      </c>
      <c r="U116" s="1" t="str">
        <f t="shared" ca="1" si="26"/>
        <v>Low Discount</v>
      </c>
    </row>
    <row r="117" spans="1:21" ht="15.6" customHeight="1" x14ac:dyDescent="0.3">
      <c r="A117" s="1" t="str">
        <f t="shared" si="21"/>
        <v>ORD-116</v>
      </c>
      <c r="B117" s="10">
        <f t="shared" ca="1" si="22"/>
        <v>45460</v>
      </c>
      <c r="C117" s="7">
        <f t="shared" ca="1" si="23"/>
        <v>45462</v>
      </c>
      <c r="D117" s="1" t="str">
        <f t="shared" ca="1" si="27"/>
        <v>Same Day</v>
      </c>
      <c r="E117" s="1" t="str">
        <f t="shared" ca="1" si="28"/>
        <v>CU-328</v>
      </c>
      <c r="F117" s="1" t="str">
        <f t="shared" ca="1" si="29"/>
        <v>Pooja Yadav</v>
      </c>
      <c r="G117" s="1" t="str">
        <f t="shared" ca="1" si="30"/>
        <v>Consumer</v>
      </c>
      <c r="H117" s="1" t="str">
        <f t="shared" si="31"/>
        <v>India</v>
      </c>
      <c r="I117" s="1" t="str">
        <f t="shared" ca="1" si="32"/>
        <v>North</v>
      </c>
      <c r="J117" s="1" t="str">
        <f t="shared" ca="1" si="33"/>
        <v>Delhi</v>
      </c>
      <c r="K117" s="1" t="str">
        <f t="shared" ca="1" si="34"/>
        <v>Bangalore</v>
      </c>
      <c r="L117" s="1" t="str">
        <f t="shared" ca="1" si="35"/>
        <v>Furniture</v>
      </c>
      <c r="M117" s="1" t="str">
        <f t="shared" ca="1" si="36"/>
        <v>Paper</v>
      </c>
      <c r="N117" s="1" t="str">
        <f t="shared" ca="1" si="37"/>
        <v>Office Chair</v>
      </c>
      <c r="O117" s="1">
        <f t="shared" ca="1" si="38"/>
        <v>21489</v>
      </c>
      <c r="P117" s="1">
        <f t="shared" ca="1" si="39"/>
        <v>1</v>
      </c>
      <c r="Q117" s="19">
        <f t="shared" ca="1" si="40"/>
        <v>0.3</v>
      </c>
      <c r="R117" s="1">
        <f t="shared" ca="1" si="41"/>
        <v>-2578.6799999999998</v>
      </c>
      <c r="S117" s="1">
        <f t="shared" ca="1" si="24"/>
        <v>2</v>
      </c>
      <c r="T117" s="19">
        <f t="shared" ca="1" si="25"/>
        <v>-0.12</v>
      </c>
      <c r="U117" s="1" t="str">
        <f t="shared" ca="1" si="26"/>
        <v>High Discount</v>
      </c>
    </row>
    <row r="118" spans="1:21" ht="15.6" customHeight="1" x14ac:dyDescent="0.3">
      <c r="A118" s="1" t="str">
        <f t="shared" si="21"/>
        <v>ORD-117</v>
      </c>
      <c r="B118" s="10">
        <f t="shared" ca="1" si="22"/>
        <v>45496</v>
      </c>
      <c r="C118" s="7">
        <f t="shared" ca="1" si="23"/>
        <v>45496</v>
      </c>
      <c r="D118" s="1" t="str">
        <f t="shared" ca="1" si="27"/>
        <v>Second Class</v>
      </c>
      <c r="E118" s="1" t="str">
        <f t="shared" ca="1" si="28"/>
        <v>CU-552</v>
      </c>
      <c r="F118" s="1" t="str">
        <f t="shared" ca="1" si="29"/>
        <v>Pooja Yadav</v>
      </c>
      <c r="G118" s="1" t="str">
        <f t="shared" ca="1" si="30"/>
        <v>Consumer</v>
      </c>
      <c r="H118" s="1" t="str">
        <f t="shared" si="31"/>
        <v>India</v>
      </c>
      <c r="I118" s="1" t="str">
        <f t="shared" ca="1" si="32"/>
        <v>South</v>
      </c>
      <c r="J118" s="1" t="str">
        <f t="shared" ca="1" si="33"/>
        <v>West Bengal</v>
      </c>
      <c r="K118" s="1" t="str">
        <f t="shared" ca="1" si="34"/>
        <v>Chennai</v>
      </c>
      <c r="L118" s="1" t="str">
        <f t="shared" ca="1" si="35"/>
        <v>Technology</v>
      </c>
      <c r="M118" s="1" t="str">
        <f t="shared" ca="1" si="36"/>
        <v>Laptop</v>
      </c>
      <c r="N118" s="1" t="str">
        <f t="shared" ca="1" si="37"/>
        <v>Office Table</v>
      </c>
      <c r="O118" s="1">
        <f t="shared" ca="1" si="38"/>
        <v>53177</v>
      </c>
      <c r="P118" s="1">
        <f t="shared" ca="1" si="39"/>
        <v>3</v>
      </c>
      <c r="Q118" s="19">
        <f t="shared" ca="1" si="40"/>
        <v>0.1</v>
      </c>
      <c r="R118" s="1">
        <f t="shared" ca="1" si="41"/>
        <v>4254.1599999999989</v>
      </c>
      <c r="S118" s="1">
        <f t="shared" ca="1" si="24"/>
        <v>0</v>
      </c>
      <c r="T118" s="19">
        <f t="shared" ca="1" si="25"/>
        <v>7.9999999999999974E-2</v>
      </c>
      <c r="U118" s="1" t="str">
        <f t="shared" ca="1" si="26"/>
        <v>Low Discount</v>
      </c>
    </row>
    <row r="119" spans="1:21" ht="15.6" customHeight="1" x14ac:dyDescent="0.3">
      <c r="A119" s="1" t="str">
        <f t="shared" si="21"/>
        <v>ORD-118</v>
      </c>
      <c r="B119" s="10">
        <f t="shared" ca="1" si="22"/>
        <v>45408</v>
      </c>
      <c r="C119" s="7">
        <f t="shared" ca="1" si="23"/>
        <v>45413</v>
      </c>
      <c r="D119" s="1" t="str">
        <f t="shared" ca="1" si="27"/>
        <v>Standard Class</v>
      </c>
      <c r="E119" s="1" t="str">
        <f t="shared" ca="1" si="28"/>
        <v>CU-826</v>
      </c>
      <c r="F119" s="1" t="str">
        <f t="shared" ca="1" si="29"/>
        <v>Arjun Malhotra</v>
      </c>
      <c r="G119" s="1" t="str">
        <f t="shared" ca="1" si="30"/>
        <v>Home Office</v>
      </c>
      <c r="H119" s="1" t="str">
        <f t="shared" si="31"/>
        <v>India</v>
      </c>
      <c r="I119" s="1" t="str">
        <f t="shared" ca="1" si="32"/>
        <v>West</v>
      </c>
      <c r="J119" s="1" t="str">
        <f t="shared" ca="1" si="33"/>
        <v>Delhi</v>
      </c>
      <c r="K119" s="1" t="str">
        <f t="shared" ca="1" si="34"/>
        <v>Kolkata</v>
      </c>
      <c r="L119" s="1" t="str">
        <f t="shared" ca="1" si="35"/>
        <v>Technology</v>
      </c>
      <c r="M119" s="1" t="str">
        <f t="shared" ca="1" si="36"/>
        <v>Table</v>
      </c>
      <c r="N119" s="1" t="str">
        <f t="shared" ca="1" si="37"/>
        <v>Office Table</v>
      </c>
      <c r="O119" s="1">
        <f t="shared" ca="1" si="38"/>
        <v>54095</v>
      </c>
      <c r="P119" s="1">
        <f t="shared" ca="1" si="39"/>
        <v>3</v>
      </c>
      <c r="Q119" s="19">
        <f t="shared" ca="1" si="40"/>
        <v>0.3</v>
      </c>
      <c r="R119" s="1">
        <f t="shared" ca="1" si="41"/>
        <v>-6491.4</v>
      </c>
      <c r="S119" s="1">
        <f t="shared" ca="1" si="24"/>
        <v>5</v>
      </c>
      <c r="T119" s="19">
        <f t="shared" ca="1" si="25"/>
        <v>-0.12</v>
      </c>
      <c r="U119" s="1" t="str">
        <f t="shared" ca="1" si="26"/>
        <v>High Discount</v>
      </c>
    </row>
    <row r="120" spans="1:21" ht="15.6" customHeight="1" x14ac:dyDescent="0.3">
      <c r="A120" s="1" t="str">
        <f t="shared" si="21"/>
        <v>ORD-119</v>
      </c>
      <c r="B120" s="10">
        <f t="shared" ca="1" si="22"/>
        <v>45515</v>
      </c>
      <c r="C120" s="7">
        <f t="shared" ca="1" si="23"/>
        <v>45520</v>
      </c>
      <c r="D120" s="1" t="str">
        <f t="shared" ca="1" si="27"/>
        <v>Standard Class</v>
      </c>
      <c r="E120" s="1" t="str">
        <f t="shared" ca="1" si="28"/>
        <v>CU-870</v>
      </c>
      <c r="F120" s="1" t="str">
        <f t="shared" ca="1" si="29"/>
        <v>Pooja Yadav</v>
      </c>
      <c r="G120" s="1" t="str">
        <f t="shared" ca="1" si="30"/>
        <v>Home Office</v>
      </c>
      <c r="H120" s="1" t="str">
        <f t="shared" si="31"/>
        <v>India</v>
      </c>
      <c r="I120" s="1" t="str">
        <f t="shared" ca="1" si="32"/>
        <v>South</v>
      </c>
      <c r="J120" s="1" t="str">
        <f t="shared" ca="1" si="33"/>
        <v>Gujarat</v>
      </c>
      <c r="K120" s="1" t="str">
        <f t="shared" ca="1" si="34"/>
        <v>Delhi</v>
      </c>
      <c r="L120" s="1" t="str">
        <f t="shared" ca="1" si="35"/>
        <v>Technology</v>
      </c>
      <c r="M120" s="1" t="str">
        <f t="shared" ca="1" si="36"/>
        <v>Chair</v>
      </c>
      <c r="N120" s="1" t="str">
        <f t="shared" ca="1" si="37"/>
        <v>Office Table</v>
      </c>
      <c r="O120" s="1">
        <f t="shared" ca="1" si="38"/>
        <v>24502</v>
      </c>
      <c r="P120" s="1">
        <f t="shared" ca="1" si="39"/>
        <v>6</v>
      </c>
      <c r="Q120" s="19">
        <f t="shared" ca="1" si="40"/>
        <v>0.1</v>
      </c>
      <c r="R120" s="1">
        <f t="shared" ca="1" si="41"/>
        <v>1960.1599999999996</v>
      </c>
      <c r="S120" s="1">
        <f t="shared" ca="1" si="24"/>
        <v>5</v>
      </c>
      <c r="T120" s="19">
        <f t="shared" ca="1" si="25"/>
        <v>7.9999999999999988E-2</v>
      </c>
      <c r="U120" s="1" t="str">
        <f t="shared" ca="1" si="26"/>
        <v>Low Discount</v>
      </c>
    </row>
    <row r="121" spans="1:21" ht="15.6" customHeight="1" x14ac:dyDescent="0.3">
      <c r="A121" s="1" t="str">
        <f t="shared" si="21"/>
        <v>ORD-120</v>
      </c>
      <c r="B121" s="10">
        <f t="shared" ca="1" si="22"/>
        <v>45644</v>
      </c>
      <c r="C121" s="7">
        <f t="shared" ca="1" si="23"/>
        <v>45645</v>
      </c>
      <c r="D121" s="1" t="str">
        <f t="shared" ca="1" si="27"/>
        <v>Standard Class</v>
      </c>
      <c r="E121" s="1" t="str">
        <f t="shared" ca="1" si="28"/>
        <v>CU-226</v>
      </c>
      <c r="F121" s="1" t="str">
        <f t="shared" ca="1" si="29"/>
        <v>Pooja Yadav</v>
      </c>
      <c r="G121" s="1" t="str">
        <f t="shared" ca="1" si="30"/>
        <v>Consumer</v>
      </c>
      <c r="H121" s="1" t="str">
        <f t="shared" si="31"/>
        <v>India</v>
      </c>
      <c r="I121" s="1" t="str">
        <f t="shared" ca="1" si="32"/>
        <v>West</v>
      </c>
      <c r="J121" s="1" t="str">
        <f t="shared" ca="1" si="33"/>
        <v>Maharashtra</v>
      </c>
      <c r="K121" s="1" t="str">
        <f t="shared" ca="1" si="34"/>
        <v>Delhi</v>
      </c>
      <c r="L121" s="1" t="str">
        <f t="shared" ca="1" si="35"/>
        <v>Furniture</v>
      </c>
      <c r="M121" s="1" t="str">
        <f t="shared" ca="1" si="36"/>
        <v>Table</v>
      </c>
      <c r="N121" s="1" t="str">
        <f t="shared" ca="1" si="37"/>
        <v>Wireless Mouse</v>
      </c>
      <c r="O121" s="1">
        <f t="shared" ca="1" si="38"/>
        <v>27122</v>
      </c>
      <c r="P121" s="1">
        <f t="shared" ca="1" si="39"/>
        <v>3</v>
      </c>
      <c r="Q121" s="19">
        <f t="shared" ca="1" si="40"/>
        <v>0.1</v>
      </c>
      <c r="R121" s="1">
        <f t="shared" ca="1" si="41"/>
        <v>2169.7599999999998</v>
      </c>
      <c r="S121" s="1">
        <f t="shared" ca="1" si="24"/>
        <v>1</v>
      </c>
      <c r="T121" s="19">
        <f t="shared" ca="1" si="25"/>
        <v>7.9999999999999988E-2</v>
      </c>
      <c r="U121" s="1" t="str">
        <f t="shared" ca="1" si="26"/>
        <v>Low Discount</v>
      </c>
    </row>
    <row r="122" spans="1:21" ht="15.6" customHeight="1" x14ac:dyDescent="0.3">
      <c r="A122" s="1" t="str">
        <f t="shared" si="21"/>
        <v>ORD-121</v>
      </c>
      <c r="B122" s="10">
        <f t="shared" ca="1" si="22"/>
        <v>45417</v>
      </c>
      <c r="C122" s="7">
        <f t="shared" ca="1" si="23"/>
        <v>45422</v>
      </c>
      <c r="D122" s="1" t="str">
        <f t="shared" ca="1" si="27"/>
        <v>Standard Class</v>
      </c>
      <c r="E122" s="1" t="str">
        <f t="shared" ca="1" si="28"/>
        <v>CU-544</v>
      </c>
      <c r="F122" s="1" t="str">
        <f t="shared" ca="1" si="29"/>
        <v>Ravi Mehta</v>
      </c>
      <c r="G122" s="1" t="str">
        <f t="shared" ca="1" si="30"/>
        <v>Home Office</v>
      </c>
      <c r="H122" s="1" t="str">
        <f t="shared" si="31"/>
        <v>India</v>
      </c>
      <c r="I122" s="1" t="str">
        <f t="shared" ca="1" si="32"/>
        <v>East</v>
      </c>
      <c r="J122" s="1" t="str">
        <f t="shared" ca="1" si="33"/>
        <v>Tamil Nadu</v>
      </c>
      <c r="K122" s="1" t="str">
        <f t="shared" ca="1" si="34"/>
        <v>Chennai</v>
      </c>
      <c r="L122" s="1" t="str">
        <f t="shared" ca="1" si="35"/>
        <v>Office Supplies</v>
      </c>
      <c r="M122" s="1" t="str">
        <f t="shared" ca="1" si="36"/>
        <v>Laptop</v>
      </c>
      <c r="N122" s="1" t="str">
        <f t="shared" ca="1" si="37"/>
        <v>Wireless Mouse</v>
      </c>
      <c r="O122" s="1">
        <f t="shared" ca="1" si="38"/>
        <v>54813</v>
      </c>
      <c r="P122" s="1">
        <f t="shared" ca="1" si="39"/>
        <v>6</v>
      </c>
      <c r="Q122" s="19">
        <f t="shared" ca="1" si="40"/>
        <v>0.2</v>
      </c>
      <c r="R122" s="1">
        <f t="shared" ca="1" si="41"/>
        <v>-1096.2600000000009</v>
      </c>
      <c r="S122" s="1">
        <f t="shared" ca="1" si="24"/>
        <v>5</v>
      </c>
      <c r="T122" s="19">
        <f t="shared" ca="1" si="25"/>
        <v>-2.0000000000000018E-2</v>
      </c>
      <c r="U122" s="1" t="str">
        <f t="shared" ca="1" si="26"/>
        <v>High Discount</v>
      </c>
    </row>
    <row r="123" spans="1:21" ht="15.6" customHeight="1" x14ac:dyDescent="0.3">
      <c r="A123" s="1" t="str">
        <f t="shared" si="21"/>
        <v>ORD-122</v>
      </c>
      <c r="B123" s="10">
        <f t="shared" ca="1" si="22"/>
        <v>45523</v>
      </c>
      <c r="C123" s="7">
        <f t="shared" ca="1" si="23"/>
        <v>45524</v>
      </c>
      <c r="D123" s="1" t="str">
        <f t="shared" ca="1" si="27"/>
        <v>Same Day</v>
      </c>
      <c r="E123" s="1" t="str">
        <f t="shared" ca="1" si="28"/>
        <v>CU-713</v>
      </c>
      <c r="F123" s="1" t="str">
        <f t="shared" ca="1" si="29"/>
        <v>Pooja Yadav</v>
      </c>
      <c r="G123" s="1" t="str">
        <f t="shared" ca="1" si="30"/>
        <v>Consumer</v>
      </c>
      <c r="H123" s="1" t="str">
        <f t="shared" si="31"/>
        <v>India</v>
      </c>
      <c r="I123" s="1" t="str">
        <f t="shared" ca="1" si="32"/>
        <v>South</v>
      </c>
      <c r="J123" s="1" t="str">
        <f t="shared" ca="1" si="33"/>
        <v>Delhi</v>
      </c>
      <c r="K123" s="1" t="str">
        <f t="shared" ca="1" si="34"/>
        <v>Chennai</v>
      </c>
      <c r="L123" s="1" t="str">
        <f t="shared" ca="1" si="35"/>
        <v>Office Supplies</v>
      </c>
      <c r="M123" s="1" t="str">
        <f t="shared" ca="1" si="36"/>
        <v>Table</v>
      </c>
      <c r="N123" s="1" t="str">
        <f t="shared" ca="1" si="37"/>
        <v>Office Chair</v>
      </c>
      <c r="O123" s="1">
        <f t="shared" ca="1" si="38"/>
        <v>47887</v>
      </c>
      <c r="P123" s="1">
        <f t="shared" ca="1" si="39"/>
        <v>3</v>
      </c>
      <c r="Q123" s="19">
        <f t="shared" ca="1" si="40"/>
        <v>0.3</v>
      </c>
      <c r="R123" s="1">
        <f t="shared" ca="1" si="41"/>
        <v>-5746.44</v>
      </c>
      <c r="S123" s="1">
        <f t="shared" ca="1" si="24"/>
        <v>1</v>
      </c>
      <c r="T123" s="19">
        <f t="shared" ca="1" si="25"/>
        <v>-0.12</v>
      </c>
      <c r="U123" s="1" t="str">
        <f t="shared" ca="1" si="26"/>
        <v>High Discount</v>
      </c>
    </row>
    <row r="124" spans="1:21" ht="15.6" customHeight="1" x14ac:dyDescent="0.3">
      <c r="A124" s="1" t="str">
        <f t="shared" si="21"/>
        <v>ORD-123</v>
      </c>
      <c r="B124" s="10">
        <f t="shared" ca="1" si="22"/>
        <v>45313</v>
      </c>
      <c r="C124" s="7">
        <f t="shared" ca="1" si="23"/>
        <v>45313</v>
      </c>
      <c r="D124" s="1" t="str">
        <f t="shared" ca="1" si="27"/>
        <v>Same Day</v>
      </c>
      <c r="E124" s="1" t="str">
        <f t="shared" ca="1" si="28"/>
        <v>CU-270</v>
      </c>
      <c r="F124" s="1" t="str">
        <f t="shared" ca="1" si="29"/>
        <v>Amit Verma</v>
      </c>
      <c r="G124" s="1" t="str">
        <f t="shared" ca="1" si="30"/>
        <v>Consumer</v>
      </c>
      <c r="H124" s="1" t="str">
        <f t="shared" si="31"/>
        <v>India</v>
      </c>
      <c r="I124" s="1" t="str">
        <f t="shared" ca="1" si="32"/>
        <v>South</v>
      </c>
      <c r="J124" s="1" t="str">
        <f t="shared" ca="1" si="33"/>
        <v>Delhi</v>
      </c>
      <c r="K124" s="1" t="str">
        <f t="shared" ca="1" si="34"/>
        <v>Mumbai</v>
      </c>
      <c r="L124" s="1" t="str">
        <f t="shared" ca="1" si="35"/>
        <v>Technology</v>
      </c>
      <c r="M124" s="1" t="str">
        <f t="shared" ca="1" si="36"/>
        <v>Laptop</v>
      </c>
      <c r="N124" s="1" t="str">
        <f t="shared" ca="1" si="37"/>
        <v>HP Pavilion</v>
      </c>
      <c r="O124" s="1">
        <f t="shared" ca="1" si="38"/>
        <v>36159</v>
      </c>
      <c r="P124" s="1">
        <f t="shared" ca="1" si="39"/>
        <v>7</v>
      </c>
      <c r="Q124" s="19">
        <f t="shared" ca="1" si="40"/>
        <v>0.05</v>
      </c>
      <c r="R124" s="1">
        <f t="shared" ca="1" si="41"/>
        <v>4700.67</v>
      </c>
      <c r="S124" s="1">
        <f t="shared" ca="1" si="24"/>
        <v>0</v>
      </c>
      <c r="T124" s="19">
        <f t="shared" ca="1" si="25"/>
        <v>0.13</v>
      </c>
      <c r="U124" s="1" t="str">
        <f t="shared" ca="1" si="26"/>
        <v>Low Discount</v>
      </c>
    </row>
    <row r="125" spans="1:21" ht="15.6" customHeight="1" x14ac:dyDescent="0.3">
      <c r="A125" s="1" t="str">
        <f t="shared" si="21"/>
        <v>ORD-124</v>
      </c>
      <c r="B125" s="10">
        <f t="shared" ca="1" si="22"/>
        <v>45384</v>
      </c>
      <c r="C125" s="7">
        <f t="shared" ca="1" si="23"/>
        <v>45384</v>
      </c>
      <c r="D125" s="1" t="str">
        <f t="shared" ca="1" si="27"/>
        <v>Second Class</v>
      </c>
      <c r="E125" s="1" t="str">
        <f t="shared" ca="1" si="28"/>
        <v>CU-360</v>
      </c>
      <c r="F125" s="1" t="str">
        <f t="shared" ca="1" si="29"/>
        <v>Amit Verma</v>
      </c>
      <c r="G125" s="1" t="str">
        <f t="shared" ca="1" si="30"/>
        <v>Home Office</v>
      </c>
      <c r="H125" s="1" t="str">
        <f t="shared" si="31"/>
        <v>India</v>
      </c>
      <c r="I125" s="1" t="str">
        <f t="shared" ca="1" si="32"/>
        <v>North</v>
      </c>
      <c r="J125" s="1" t="str">
        <f t="shared" ca="1" si="33"/>
        <v>Delhi</v>
      </c>
      <c r="K125" s="1" t="str">
        <f t="shared" ca="1" si="34"/>
        <v>Mumbai</v>
      </c>
      <c r="L125" s="1" t="str">
        <f t="shared" ca="1" si="35"/>
        <v>Technology</v>
      </c>
      <c r="M125" s="1" t="str">
        <f t="shared" ca="1" si="36"/>
        <v>Table</v>
      </c>
      <c r="N125" s="1" t="str">
        <f t="shared" ca="1" si="37"/>
        <v>Office Table</v>
      </c>
      <c r="O125" s="1">
        <f t="shared" ca="1" si="38"/>
        <v>54183</v>
      </c>
      <c r="P125" s="1">
        <f t="shared" ca="1" si="39"/>
        <v>1</v>
      </c>
      <c r="Q125" s="19">
        <f t="shared" ca="1" si="40"/>
        <v>0</v>
      </c>
      <c r="R125" s="1">
        <f t="shared" ca="1" si="41"/>
        <v>9752.94</v>
      </c>
      <c r="S125" s="1">
        <f t="shared" ca="1" si="24"/>
        <v>0</v>
      </c>
      <c r="T125" s="19">
        <f t="shared" ca="1" si="25"/>
        <v>0.18000000000000002</v>
      </c>
      <c r="U125" s="1" t="str">
        <f t="shared" ca="1" si="26"/>
        <v>Low Discount</v>
      </c>
    </row>
    <row r="126" spans="1:21" ht="15.6" customHeight="1" x14ac:dyDescent="0.3">
      <c r="A126" s="1" t="str">
        <f t="shared" si="21"/>
        <v>ORD-125</v>
      </c>
      <c r="B126" s="10">
        <f t="shared" ca="1" si="22"/>
        <v>45371</v>
      </c>
      <c r="C126" s="7">
        <f t="shared" ca="1" si="23"/>
        <v>45375</v>
      </c>
      <c r="D126" s="1" t="str">
        <f t="shared" ca="1" si="27"/>
        <v>Second Class</v>
      </c>
      <c r="E126" s="1" t="str">
        <f t="shared" ca="1" si="28"/>
        <v>CU-639</v>
      </c>
      <c r="F126" s="1" t="str">
        <f t="shared" ca="1" si="29"/>
        <v>Arjun Malhotra</v>
      </c>
      <c r="G126" s="1" t="str">
        <f t="shared" ca="1" si="30"/>
        <v>Corporate</v>
      </c>
      <c r="H126" s="1" t="str">
        <f t="shared" si="31"/>
        <v>India</v>
      </c>
      <c r="I126" s="1" t="str">
        <f t="shared" ca="1" si="32"/>
        <v>East</v>
      </c>
      <c r="J126" s="1" t="str">
        <f t="shared" ca="1" si="33"/>
        <v>Maharashtra</v>
      </c>
      <c r="K126" s="1" t="str">
        <f t="shared" ca="1" si="34"/>
        <v>Ahmedabad</v>
      </c>
      <c r="L126" s="1" t="str">
        <f t="shared" ca="1" si="35"/>
        <v>Technology</v>
      </c>
      <c r="M126" s="1" t="str">
        <f t="shared" ca="1" si="36"/>
        <v>Laptop</v>
      </c>
      <c r="N126" s="1" t="str">
        <f t="shared" ca="1" si="37"/>
        <v>Office Table</v>
      </c>
      <c r="O126" s="1">
        <f t="shared" ca="1" si="38"/>
        <v>14133</v>
      </c>
      <c r="P126" s="1">
        <f t="shared" ca="1" si="39"/>
        <v>3</v>
      </c>
      <c r="Q126" s="19">
        <f t="shared" ca="1" si="40"/>
        <v>0.1</v>
      </c>
      <c r="R126" s="1">
        <f t="shared" ca="1" si="41"/>
        <v>1130.6399999999999</v>
      </c>
      <c r="S126" s="1">
        <f t="shared" ca="1" si="24"/>
        <v>4</v>
      </c>
      <c r="T126" s="19">
        <f t="shared" ca="1" si="25"/>
        <v>7.9999999999999988E-2</v>
      </c>
      <c r="U126" s="1" t="str">
        <f t="shared" ca="1" si="26"/>
        <v>Low Discount</v>
      </c>
    </row>
    <row r="127" spans="1:21" ht="15.6" customHeight="1" x14ac:dyDescent="0.3">
      <c r="A127" s="1" t="str">
        <f t="shared" si="21"/>
        <v>ORD-126</v>
      </c>
      <c r="B127" s="10">
        <f t="shared" ca="1" si="22"/>
        <v>45505</v>
      </c>
      <c r="C127" s="7">
        <f t="shared" ca="1" si="23"/>
        <v>45510</v>
      </c>
      <c r="D127" s="1" t="str">
        <f t="shared" ca="1" si="27"/>
        <v>Second Class</v>
      </c>
      <c r="E127" s="1" t="str">
        <f t="shared" ca="1" si="28"/>
        <v>CU-512</v>
      </c>
      <c r="F127" s="1" t="str">
        <f t="shared" ca="1" si="29"/>
        <v>Neha Gupta</v>
      </c>
      <c r="G127" s="1" t="str">
        <f t="shared" ca="1" si="30"/>
        <v>Consumer</v>
      </c>
      <c r="H127" s="1" t="str">
        <f t="shared" si="31"/>
        <v>India</v>
      </c>
      <c r="I127" s="1" t="str">
        <f t="shared" ca="1" si="32"/>
        <v>West</v>
      </c>
      <c r="J127" s="1" t="str">
        <f t="shared" ca="1" si="33"/>
        <v>Tamil Nadu</v>
      </c>
      <c r="K127" s="1" t="str">
        <f t="shared" ca="1" si="34"/>
        <v>Chennai</v>
      </c>
      <c r="L127" s="1" t="str">
        <f t="shared" ca="1" si="35"/>
        <v>Technology</v>
      </c>
      <c r="M127" s="1" t="str">
        <f t="shared" ca="1" si="36"/>
        <v>Mobile</v>
      </c>
      <c r="N127" s="1" t="str">
        <f t="shared" ca="1" si="37"/>
        <v>Wireless Mouse</v>
      </c>
      <c r="O127" s="1">
        <f t="shared" ca="1" si="38"/>
        <v>58324</v>
      </c>
      <c r="P127" s="1">
        <f t="shared" ca="1" si="39"/>
        <v>6</v>
      </c>
      <c r="Q127" s="19">
        <f t="shared" ca="1" si="40"/>
        <v>0.05</v>
      </c>
      <c r="R127" s="1">
        <f t="shared" ca="1" si="41"/>
        <v>7582.12</v>
      </c>
      <c r="S127" s="1">
        <f t="shared" ca="1" si="24"/>
        <v>5</v>
      </c>
      <c r="T127" s="19">
        <f t="shared" ca="1" si="25"/>
        <v>0.13</v>
      </c>
      <c r="U127" s="1" t="str">
        <f t="shared" ca="1" si="26"/>
        <v>Low Discount</v>
      </c>
    </row>
    <row r="128" spans="1:21" ht="15.6" customHeight="1" x14ac:dyDescent="0.3">
      <c r="A128" s="1" t="str">
        <f t="shared" si="21"/>
        <v>ORD-127</v>
      </c>
      <c r="B128" s="10">
        <f t="shared" ca="1" si="22"/>
        <v>45453</v>
      </c>
      <c r="C128" s="7">
        <f t="shared" ca="1" si="23"/>
        <v>45456</v>
      </c>
      <c r="D128" s="1" t="str">
        <f t="shared" ca="1" si="27"/>
        <v>Second Class</v>
      </c>
      <c r="E128" s="1" t="str">
        <f t="shared" ca="1" si="28"/>
        <v>CU-528</v>
      </c>
      <c r="F128" s="1" t="str">
        <f t="shared" ca="1" si="29"/>
        <v>Amit Verma</v>
      </c>
      <c r="G128" s="1" t="str">
        <f t="shared" ca="1" si="30"/>
        <v>Corporate</v>
      </c>
      <c r="H128" s="1" t="str">
        <f t="shared" si="31"/>
        <v>India</v>
      </c>
      <c r="I128" s="1" t="str">
        <f t="shared" ca="1" si="32"/>
        <v>East</v>
      </c>
      <c r="J128" s="1" t="str">
        <f t="shared" ca="1" si="33"/>
        <v>West Bengal</v>
      </c>
      <c r="K128" s="1" t="str">
        <f t="shared" ca="1" si="34"/>
        <v>Bangalore</v>
      </c>
      <c r="L128" s="1" t="str">
        <f t="shared" ca="1" si="35"/>
        <v>Technology</v>
      </c>
      <c r="M128" s="1" t="str">
        <f t="shared" ca="1" si="36"/>
        <v>Chair</v>
      </c>
      <c r="N128" s="1" t="str">
        <f t="shared" ca="1" si="37"/>
        <v>Samsung Galaxy</v>
      </c>
      <c r="O128" s="1">
        <f t="shared" ca="1" si="38"/>
        <v>15748</v>
      </c>
      <c r="P128" s="1">
        <f t="shared" ca="1" si="39"/>
        <v>9</v>
      </c>
      <c r="Q128" s="19">
        <f t="shared" ca="1" si="40"/>
        <v>0.2</v>
      </c>
      <c r="R128" s="1">
        <f t="shared" ca="1" si="41"/>
        <v>-314.96000000000026</v>
      </c>
      <c r="S128" s="1">
        <f t="shared" ca="1" si="24"/>
        <v>3</v>
      </c>
      <c r="T128" s="19">
        <f t="shared" ca="1" si="25"/>
        <v>-2.0000000000000018E-2</v>
      </c>
      <c r="U128" s="1" t="str">
        <f t="shared" ca="1" si="26"/>
        <v>High Discount</v>
      </c>
    </row>
    <row r="129" spans="1:21" ht="15.6" customHeight="1" x14ac:dyDescent="0.3">
      <c r="A129" s="1" t="str">
        <f t="shared" si="21"/>
        <v>ORD-128</v>
      </c>
      <c r="B129" s="10">
        <f t="shared" ca="1" si="22"/>
        <v>45608</v>
      </c>
      <c r="C129" s="7">
        <f t="shared" ca="1" si="23"/>
        <v>45611</v>
      </c>
      <c r="D129" s="1" t="str">
        <f t="shared" ca="1" si="27"/>
        <v>Same Day</v>
      </c>
      <c r="E129" s="1" t="str">
        <f t="shared" ca="1" si="28"/>
        <v>CU-125</v>
      </c>
      <c r="F129" s="1" t="str">
        <f t="shared" ca="1" si="29"/>
        <v>Neha Gupta</v>
      </c>
      <c r="G129" s="1" t="str">
        <f t="shared" ca="1" si="30"/>
        <v>Home Office</v>
      </c>
      <c r="H129" s="1" t="str">
        <f t="shared" si="31"/>
        <v>India</v>
      </c>
      <c r="I129" s="1" t="str">
        <f t="shared" ca="1" si="32"/>
        <v>South</v>
      </c>
      <c r="J129" s="1" t="str">
        <f t="shared" ca="1" si="33"/>
        <v>Gujarat</v>
      </c>
      <c r="K129" s="1" t="str">
        <f t="shared" ca="1" si="34"/>
        <v>Mumbai</v>
      </c>
      <c r="L129" s="1" t="str">
        <f t="shared" ca="1" si="35"/>
        <v>Office Supplies</v>
      </c>
      <c r="M129" s="1" t="str">
        <f t="shared" ca="1" si="36"/>
        <v>Paper</v>
      </c>
      <c r="N129" s="1" t="str">
        <f t="shared" ca="1" si="37"/>
        <v>HP Pavilion</v>
      </c>
      <c r="O129" s="1">
        <f t="shared" ca="1" si="38"/>
        <v>54987</v>
      </c>
      <c r="P129" s="1">
        <f t="shared" ca="1" si="39"/>
        <v>8</v>
      </c>
      <c r="Q129" s="19">
        <f t="shared" ca="1" si="40"/>
        <v>0.1</v>
      </c>
      <c r="R129" s="1">
        <f t="shared" ca="1" si="41"/>
        <v>4398.9599999999991</v>
      </c>
      <c r="S129" s="1">
        <f t="shared" ca="1" si="24"/>
        <v>3</v>
      </c>
      <c r="T129" s="19">
        <f t="shared" ca="1" si="25"/>
        <v>7.9999999999999988E-2</v>
      </c>
      <c r="U129" s="1" t="str">
        <f t="shared" ca="1" si="26"/>
        <v>Low Discount</v>
      </c>
    </row>
    <row r="130" spans="1:21" ht="15.6" customHeight="1" x14ac:dyDescent="0.3">
      <c r="A130" s="1" t="str">
        <f t="shared" ref="A130:A193" si="42">"ORD-"&amp;(ROW()-1)</f>
        <v>ORD-129</v>
      </c>
      <c r="B130" s="10">
        <f t="shared" ref="B130:B193" ca="1" si="43">DATE(2024,1,1)+RANDBETWEEN(1,365)</f>
        <v>45444</v>
      </c>
      <c r="C130" s="7">
        <f t="shared" ref="C130:C193" ca="1" si="44">B130+RANDBETWEEN(0,5)</f>
        <v>45449</v>
      </c>
      <c r="D130" s="1" t="str">
        <f t="shared" ca="1" si="27"/>
        <v>Second Class</v>
      </c>
      <c r="E130" s="1" t="str">
        <f t="shared" ca="1" si="28"/>
        <v>CU-178</v>
      </c>
      <c r="F130" s="1" t="str">
        <f t="shared" ca="1" si="29"/>
        <v>Amit Verma</v>
      </c>
      <c r="G130" s="1" t="str">
        <f t="shared" ca="1" si="30"/>
        <v>Consumer</v>
      </c>
      <c r="H130" s="1" t="str">
        <f t="shared" si="31"/>
        <v>India</v>
      </c>
      <c r="I130" s="1" t="str">
        <f t="shared" ca="1" si="32"/>
        <v>East</v>
      </c>
      <c r="J130" s="1" t="str">
        <f t="shared" ca="1" si="33"/>
        <v>Tamil Nadu</v>
      </c>
      <c r="K130" s="1" t="str">
        <f t="shared" ca="1" si="34"/>
        <v>Bangalore</v>
      </c>
      <c r="L130" s="1" t="str">
        <f t="shared" ca="1" si="35"/>
        <v>Furniture</v>
      </c>
      <c r="M130" s="1" t="str">
        <f t="shared" ca="1" si="36"/>
        <v>Mobile</v>
      </c>
      <c r="N130" s="1" t="str">
        <f t="shared" ca="1" si="37"/>
        <v>Wireless Mouse</v>
      </c>
      <c r="O130" s="1">
        <f t="shared" ca="1" si="38"/>
        <v>23556</v>
      </c>
      <c r="P130" s="1">
        <f t="shared" ca="1" si="39"/>
        <v>10</v>
      </c>
      <c r="Q130" s="19">
        <f t="shared" ca="1" si="40"/>
        <v>0.1</v>
      </c>
      <c r="R130" s="1">
        <f t="shared" ca="1" si="41"/>
        <v>1884.4799999999998</v>
      </c>
      <c r="S130" s="1">
        <f t="shared" ref="S130:S193" ca="1" si="45">C130-B130</f>
        <v>5</v>
      </c>
      <c r="T130" s="19">
        <f t="shared" ref="T130:T193" ca="1" si="46">R130/O130</f>
        <v>7.9999999999999988E-2</v>
      </c>
      <c r="U130" s="1" t="str">
        <f t="shared" ref="U130:U193" ca="1" si="47">IF(Q130&gt;=0.2,"High Discount","Low Discount")</f>
        <v>Low Discount</v>
      </c>
    </row>
    <row r="131" spans="1:21" ht="15.6" customHeight="1" x14ac:dyDescent="0.3">
      <c r="A131" s="1" t="str">
        <f t="shared" si="42"/>
        <v>ORD-130</v>
      </c>
      <c r="B131" s="10">
        <f t="shared" ca="1" si="43"/>
        <v>45604</v>
      </c>
      <c r="C131" s="7">
        <f t="shared" ca="1" si="44"/>
        <v>45606</v>
      </c>
      <c r="D131" s="1" t="str">
        <f t="shared" ref="D131:D194" ca="1" si="48">CHOOSE(RANDBETWEEN(1,3),"Standard Class","Second Class","Same Day")</f>
        <v>Second Class</v>
      </c>
      <c r="E131" s="1" t="str">
        <f t="shared" ref="E131:E194" ca="1" si="49">"CU-"&amp;RANDBETWEEN(100,999)</f>
        <v>CU-344</v>
      </c>
      <c r="F131" s="1" t="str">
        <f t="shared" ref="F131:F194" ca="1" si="50">CHOOSE(RANDBETWEEN(1,8),"Rahul Sharma","Amit Verma","Priya Singh","Sunil Kumar","Neha Gupta","Ravi Mehta","Pooja Yadav","Arjun Malhotra")</f>
        <v>Priya Singh</v>
      </c>
      <c r="G131" s="1" t="str">
        <f t="shared" ref="G131:G194" ca="1" si="51">CHOOSE(RANDBETWEEN(1,3),"Consumer","Corporate","Home Office")</f>
        <v>Corporate</v>
      </c>
      <c r="H131" s="1" t="str">
        <f t="shared" ref="H131:H194" si="52">"India"</f>
        <v>India</v>
      </c>
      <c r="I131" s="1" t="str">
        <f t="shared" ref="I131:I194" ca="1" si="53">CHOOSE(RANDBETWEEN(1,4),"North","South","East","West")</f>
        <v>North</v>
      </c>
      <c r="J131" s="1" t="str">
        <f t="shared" ref="J131:J194" ca="1" si="54">CHOOSE(RANDBETWEEN(1,6),"Delhi","Maharashtra","Karnataka","West Bengal","Gujarat","Tamil Nadu")</f>
        <v>Tamil Nadu</v>
      </c>
      <c r="K131" s="1" t="str">
        <f t="shared" ref="K131:K194" ca="1" si="55">CHOOSE(RANDBETWEEN(1,6),"Delhi","Mumbai","Bangalore","Kolkata","Ahmedabad","Chennai")</f>
        <v>Delhi</v>
      </c>
      <c r="L131" s="1" t="str">
        <f t="shared" ref="L131:L194" ca="1" si="56">CHOOSE(RANDBETWEEN(1,3),"Technology","Furniture","Office Supplies")</f>
        <v>Furniture</v>
      </c>
      <c r="M131" s="1" t="str">
        <f t="shared" ref="M131:M194" ca="1" si="57">CHOOSE(RANDBETWEEN(1,5),"Mobile","Laptop","Chair","Table","Paper")</f>
        <v>Table</v>
      </c>
      <c r="N131" s="1" t="str">
        <f t="shared" ref="N131:N194" ca="1" si="58">CHOOSE(RANDBETWEEN(1,6),"Samsung Galaxy","HP Pavilion","Office Chair","Office Table","A4 Paper","Wireless Mouse")</f>
        <v>Office Table</v>
      </c>
      <c r="O131" s="1">
        <f t="shared" ref="O131:O194" ca="1" si="59">RANDBETWEEN(500,60000)</f>
        <v>17047</v>
      </c>
      <c r="P131" s="1">
        <f t="shared" ref="P131:P194" ca="1" si="60">RANDBETWEEN(1,10)</f>
        <v>8</v>
      </c>
      <c r="Q131" s="19">
        <f t="shared" ref="Q131:Q194" ca="1" si="61">CHOOSE(RANDBETWEEN(1,5),0,0.05,0.1,0.2,0.3)</f>
        <v>0.05</v>
      </c>
      <c r="R131" s="1">
        <f t="shared" ref="R131:R194" ca="1" si="62">O131*(0.18-Q131)</f>
        <v>2216.11</v>
      </c>
      <c r="S131" s="1">
        <f t="shared" ca="1" si="45"/>
        <v>2</v>
      </c>
      <c r="T131" s="19">
        <f t="shared" ca="1" si="46"/>
        <v>0.13</v>
      </c>
      <c r="U131" s="1" t="str">
        <f t="shared" ca="1" si="47"/>
        <v>Low Discount</v>
      </c>
    </row>
    <row r="132" spans="1:21" ht="15.6" customHeight="1" x14ac:dyDescent="0.3">
      <c r="A132" s="1" t="str">
        <f t="shared" si="42"/>
        <v>ORD-131</v>
      </c>
      <c r="B132" s="10">
        <f t="shared" ca="1" si="43"/>
        <v>45403</v>
      </c>
      <c r="C132" s="7">
        <f t="shared" ca="1" si="44"/>
        <v>45407</v>
      </c>
      <c r="D132" s="1" t="str">
        <f t="shared" ca="1" si="48"/>
        <v>Standard Class</v>
      </c>
      <c r="E132" s="1" t="str">
        <f t="shared" ca="1" si="49"/>
        <v>CU-285</v>
      </c>
      <c r="F132" s="1" t="str">
        <f t="shared" ca="1" si="50"/>
        <v>Rahul Sharma</v>
      </c>
      <c r="G132" s="1" t="str">
        <f t="shared" ca="1" si="51"/>
        <v>Consumer</v>
      </c>
      <c r="H132" s="1" t="str">
        <f t="shared" si="52"/>
        <v>India</v>
      </c>
      <c r="I132" s="1" t="str">
        <f t="shared" ca="1" si="53"/>
        <v>South</v>
      </c>
      <c r="J132" s="1" t="str">
        <f t="shared" ca="1" si="54"/>
        <v>Tamil Nadu</v>
      </c>
      <c r="K132" s="1" t="str">
        <f t="shared" ca="1" si="55"/>
        <v>Bangalore</v>
      </c>
      <c r="L132" s="1" t="str">
        <f t="shared" ca="1" si="56"/>
        <v>Office Supplies</v>
      </c>
      <c r="M132" s="1" t="str">
        <f t="shared" ca="1" si="57"/>
        <v>Chair</v>
      </c>
      <c r="N132" s="1" t="str">
        <f t="shared" ca="1" si="58"/>
        <v>Office Chair</v>
      </c>
      <c r="O132" s="1">
        <f t="shared" ca="1" si="59"/>
        <v>13519</v>
      </c>
      <c r="P132" s="1">
        <f t="shared" ca="1" si="60"/>
        <v>1</v>
      </c>
      <c r="Q132" s="19">
        <f t="shared" ca="1" si="61"/>
        <v>0.05</v>
      </c>
      <c r="R132" s="1">
        <f t="shared" ca="1" si="62"/>
        <v>1757.47</v>
      </c>
      <c r="S132" s="1">
        <f t="shared" ca="1" si="45"/>
        <v>4</v>
      </c>
      <c r="T132" s="19">
        <f t="shared" ca="1" si="46"/>
        <v>0.13</v>
      </c>
      <c r="U132" s="1" t="str">
        <f t="shared" ca="1" si="47"/>
        <v>Low Discount</v>
      </c>
    </row>
    <row r="133" spans="1:21" ht="15.6" customHeight="1" x14ac:dyDescent="0.3">
      <c r="A133" s="1" t="str">
        <f t="shared" si="42"/>
        <v>ORD-132</v>
      </c>
      <c r="B133" s="10">
        <f t="shared" ca="1" si="43"/>
        <v>45412</v>
      </c>
      <c r="C133" s="7">
        <f t="shared" ca="1" si="44"/>
        <v>45415</v>
      </c>
      <c r="D133" s="1" t="str">
        <f t="shared" ca="1" si="48"/>
        <v>Same Day</v>
      </c>
      <c r="E133" s="1" t="str">
        <f t="shared" ca="1" si="49"/>
        <v>CU-286</v>
      </c>
      <c r="F133" s="1" t="str">
        <f t="shared" ca="1" si="50"/>
        <v>Sunil Kumar</v>
      </c>
      <c r="G133" s="1" t="str">
        <f t="shared" ca="1" si="51"/>
        <v>Consumer</v>
      </c>
      <c r="H133" s="1" t="str">
        <f t="shared" si="52"/>
        <v>India</v>
      </c>
      <c r="I133" s="1" t="str">
        <f t="shared" ca="1" si="53"/>
        <v>South</v>
      </c>
      <c r="J133" s="1" t="str">
        <f t="shared" ca="1" si="54"/>
        <v>Karnataka</v>
      </c>
      <c r="K133" s="1" t="str">
        <f t="shared" ca="1" si="55"/>
        <v>Mumbai</v>
      </c>
      <c r="L133" s="1" t="str">
        <f t="shared" ca="1" si="56"/>
        <v>Office Supplies</v>
      </c>
      <c r="M133" s="1" t="str">
        <f t="shared" ca="1" si="57"/>
        <v>Mobile</v>
      </c>
      <c r="N133" s="1" t="str">
        <f t="shared" ca="1" si="58"/>
        <v>A4 Paper</v>
      </c>
      <c r="O133" s="1">
        <f t="shared" ca="1" si="59"/>
        <v>58472</v>
      </c>
      <c r="P133" s="1">
        <f t="shared" ca="1" si="60"/>
        <v>1</v>
      </c>
      <c r="Q133" s="19">
        <f t="shared" ca="1" si="61"/>
        <v>0.1</v>
      </c>
      <c r="R133" s="1">
        <f t="shared" ca="1" si="62"/>
        <v>4677.7599999999993</v>
      </c>
      <c r="S133" s="1">
        <f t="shared" ca="1" si="45"/>
        <v>3</v>
      </c>
      <c r="T133" s="19">
        <f t="shared" ca="1" si="46"/>
        <v>7.9999999999999988E-2</v>
      </c>
      <c r="U133" s="1" t="str">
        <f t="shared" ca="1" si="47"/>
        <v>Low Discount</v>
      </c>
    </row>
    <row r="134" spans="1:21" ht="15.6" customHeight="1" x14ac:dyDescent="0.3">
      <c r="A134" s="1" t="str">
        <f t="shared" si="42"/>
        <v>ORD-133</v>
      </c>
      <c r="B134" s="10">
        <f t="shared" ca="1" si="43"/>
        <v>45382</v>
      </c>
      <c r="C134" s="7">
        <f t="shared" ca="1" si="44"/>
        <v>45387</v>
      </c>
      <c r="D134" s="1" t="str">
        <f t="shared" ca="1" si="48"/>
        <v>Same Day</v>
      </c>
      <c r="E134" s="1" t="str">
        <f t="shared" ca="1" si="49"/>
        <v>CU-840</v>
      </c>
      <c r="F134" s="1" t="str">
        <f t="shared" ca="1" si="50"/>
        <v>Priya Singh</v>
      </c>
      <c r="G134" s="1" t="str">
        <f t="shared" ca="1" si="51"/>
        <v>Corporate</v>
      </c>
      <c r="H134" s="1" t="str">
        <f t="shared" si="52"/>
        <v>India</v>
      </c>
      <c r="I134" s="1" t="str">
        <f t="shared" ca="1" si="53"/>
        <v>South</v>
      </c>
      <c r="J134" s="1" t="str">
        <f t="shared" ca="1" si="54"/>
        <v>Delhi</v>
      </c>
      <c r="K134" s="1" t="str">
        <f t="shared" ca="1" si="55"/>
        <v>Ahmedabad</v>
      </c>
      <c r="L134" s="1" t="str">
        <f t="shared" ca="1" si="56"/>
        <v>Furniture</v>
      </c>
      <c r="M134" s="1" t="str">
        <f t="shared" ca="1" si="57"/>
        <v>Paper</v>
      </c>
      <c r="N134" s="1" t="str">
        <f t="shared" ca="1" si="58"/>
        <v>HP Pavilion</v>
      </c>
      <c r="O134" s="1">
        <f t="shared" ca="1" si="59"/>
        <v>13524</v>
      </c>
      <c r="P134" s="1">
        <f t="shared" ca="1" si="60"/>
        <v>8</v>
      </c>
      <c r="Q134" s="19">
        <f t="shared" ca="1" si="61"/>
        <v>0</v>
      </c>
      <c r="R134" s="1">
        <f t="shared" ca="1" si="62"/>
        <v>2434.3199999999997</v>
      </c>
      <c r="S134" s="1">
        <f t="shared" ca="1" si="45"/>
        <v>5</v>
      </c>
      <c r="T134" s="19">
        <f t="shared" ca="1" si="46"/>
        <v>0.17999999999999997</v>
      </c>
      <c r="U134" s="1" t="str">
        <f t="shared" ca="1" si="47"/>
        <v>Low Discount</v>
      </c>
    </row>
    <row r="135" spans="1:21" ht="15.6" customHeight="1" x14ac:dyDescent="0.3">
      <c r="A135" s="1" t="str">
        <f t="shared" si="42"/>
        <v>ORD-134</v>
      </c>
      <c r="B135" s="10">
        <f t="shared" ca="1" si="43"/>
        <v>45352</v>
      </c>
      <c r="C135" s="7">
        <f t="shared" ca="1" si="44"/>
        <v>45356</v>
      </c>
      <c r="D135" s="1" t="str">
        <f t="shared" ca="1" si="48"/>
        <v>Same Day</v>
      </c>
      <c r="E135" s="1" t="str">
        <f t="shared" ca="1" si="49"/>
        <v>CU-834</v>
      </c>
      <c r="F135" s="1" t="str">
        <f t="shared" ca="1" si="50"/>
        <v>Rahul Sharma</v>
      </c>
      <c r="G135" s="1" t="str">
        <f t="shared" ca="1" si="51"/>
        <v>Corporate</v>
      </c>
      <c r="H135" s="1" t="str">
        <f t="shared" si="52"/>
        <v>India</v>
      </c>
      <c r="I135" s="1" t="str">
        <f t="shared" ca="1" si="53"/>
        <v>East</v>
      </c>
      <c r="J135" s="1" t="str">
        <f t="shared" ca="1" si="54"/>
        <v>Maharashtra</v>
      </c>
      <c r="K135" s="1" t="str">
        <f t="shared" ca="1" si="55"/>
        <v>Chennai</v>
      </c>
      <c r="L135" s="1" t="str">
        <f t="shared" ca="1" si="56"/>
        <v>Office Supplies</v>
      </c>
      <c r="M135" s="1" t="str">
        <f t="shared" ca="1" si="57"/>
        <v>Mobile</v>
      </c>
      <c r="N135" s="1" t="str">
        <f t="shared" ca="1" si="58"/>
        <v>HP Pavilion</v>
      </c>
      <c r="O135" s="1">
        <f t="shared" ca="1" si="59"/>
        <v>23508</v>
      </c>
      <c r="P135" s="1">
        <f t="shared" ca="1" si="60"/>
        <v>5</v>
      </c>
      <c r="Q135" s="19">
        <f t="shared" ca="1" si="61"/>
        <v>0.1</v>
      </c>
      <c r="R135" s="1">
        <f t="shared" ca="1" si="62"/>
        <v>1880.6399999999996</v>
      </c>
      <c r="S135" s="1">
        <f t="shared" ca="1" si="45"/>
        <v>4</v>
      </c>
      <c r="T135" s="19">
        <f t="shared" ca="1" si="46"/>
        <v>7.9999999999999988E-2</v>
      </c>
      <c r="U135" s="1" t="str">
        <f t="shared" ca="1" si="47"/>
        <v>Low Discount</v>
      </c>
    </row>
    <row r="136" spans="1:21" ht="15.6" customHeight="1" x14ac:dyDescent="0.3">
      <c r="A136" s="1" t="str">
        <f t="shared" si="42"/>
        <v>ORD-135</v>
      </c>
      <c r="B136" s="10">
        <f t="shared" ca="1" si="43"/>
        <v>45449</v>
      </c>
      <c r="C136" s="7">
        <f t="shared" ca="1" si="44"/>
        <v>45454</v>
      </c>
      <c r="D136" s="1" t="str">
        <f t="shared" ca="1" si="48"/>
        <v>Same Day</v>
      </c>
      <c r="E136" s="1" t="str">
        <f t="shared" ca="1" si="49"/>
        <v>CU-629</v>
      </c>
      <c r="F136" s="1" t="str">
        <f t="shared" ca="1" si="50"/>
        <v>Neha Gupta</v>
      </c>
      <c r="G136" s="1" t="str">
        <f t="shared" ca="1" si="51"/>
        <v>Corporate</v>
      </c>
      <c r="H136" s="1" t="str">
        <f t="shared" si="52"/>
        <v>India</v>
      </c>
      <c r="I136" s="1" t="str">
        <f t="shared" ca="1" si="53"/>
        <v>West</v>
      </c>
      <c r="J136" s="1" t="str">
        <f t="shared" ca="1" si="54"/>
        <v>Gujarat</v>
      </c>
      <c r="K136" s="1" t="str">
        <f t="shared" ca="1" si="55"/>
        <v>Ahmedabad</v>
      </c>
      <c r="L136" s="1" t="str">
        <f t="shared" ca="1" si="56"/>
        <v>Office Supplies</v>
      </c>
      <c r="M136" s="1" t="str">
        <f t="shared" ca="1" si="57"/>
        <v>Table</v>
      </c>
      <c r="N136" s="1" t="str">
        <f t="shared" ca="1" si="58"/>
        <v>Samsung Galaxy</v>
      </c>
      <c r="O136" s="1">
        <f t="shared" ca="1" si="59"/>
        <v>5958</v>
      </c>
      <c r="P136" s="1">
        <f t="shared" ca="1" si="60"/>
        <v>2</v>
      </c>
      <c r="Q136" s="19">
        <f t="shared" ca="1" si="61"/>
        <v>0.2</v>
      </c>
      <c r="R136" s="1">
        <f t="shared" ca="1" si="62"/>
        <v>-119.16000000000011</v>
      </c>
      <c r="S136" s="1">
        <f t="shared" ca="1" si="45"/>
        <v>5</v>
      </c>
      <c r="T136" s="19">
        <f t="shared" ca="1" si="46"/>
        <v>-2.0000000000000018E-2</v>
      </c>
      <c r="U136" s="1" t="str">
        <f t="shared" ca="1" si="47"/>
        <v>High Discount</v>
      </c>
    </row>
    <row r="137" spans="1:21" ht="15.6" customHeight="1" x14ac:dyDescent="0.3">
      <c r="A137" s="1" t="str">
        <f t="shared" si="42"/>
        <v>ORD-136</v>
      </c>
      <c r="B137" s="10">
        <f t="shared" ca="1" si="43"/>
        <v>45402</v>
      </c>
      <c r="C137" s="7">
        <f t="shared" ca="1" si="44"/>
        <v>45407</v>
      </c>
      <c r="D137" s="1" t="str">
        <f t="shared" ca="1" si="48"/>
        <v>Second Class</v>
      </c>
      <c r="E137" s="1" t="str">
        <f t="shared" ca="1" si="49"/>
        <v>CU-684</v>
      </c>
      <c r="F137" s="1" t="str">
        <f t="shared" ca="1" si="50"/>
        <v>Neha Gupta</v>
      </c>
      <c r="G137" s="1" t="str">
        <f t="shared" ca="1" si="51"/>
        <v>Consumer</v>
      </c>
      <c r="H137" s="1" t="str">
        <f t="shared" si="52"/>
        <v>India</v>
      </c>
      <c r="I137" s="1" t="str">
        <f t="shared" ca="1" si="53"/>
        <v>North</v>
      </c>
      <c r="J137" s="1" t="str">
        <f t="shared" ca="1" si="54"/>
        <v>Maharashtra</v>
      </c>
      <c r="K137" s="1" t="str">
        <f t="shared" ca="1" si="55"/>
        <v>Bangalore</v>
      </c>
      <c r="L137" s="1" t="str">
        <f t="shared" ca="1" si="56"/>
        <v>Office Supplies</v>
      </c>
      <c r="M137" s="1" t="str">
        <f t="shared" ca="1" si="57"/>
        <v>Paper</v>
      </c>
      <c r="N137" s="1" t="str">
        <f t="shared" ca="1" si="58"/>
        <v>HP Pavilion</v>
      </c>
      <c r="O137" s="1">
        <f t="shared" ca="1" si="59"/>
        <v>51950</v>
      </c>
      <c r="P137" s="1">
        <f t="shared" ca="1" si="60"/>
        <v>2</v>
      </c>
      <c r="Q137" s="19">
        <f t="shared" ca="1" si="61"/>
        <v>0.3</v>
      </c>
      <c r="R137" s="1">
        <f t="shared" ca="1" si="62"/>
        <v>-6234</v>
      </c>
      <c r="S137" s="1">
        <f t="shared" ca="1" si="45"/>
        <v>5</v>
      </c>
      <c r="T137" s="19">
        <f t="shared" ca="1" si="46"/>
        <v>-0.12</v>
      </c>
      <c r="U137" s="1" t="str">
        <f t="shared" ca="1" si="47"/>
        <v>High Discount</v>
      </c>
    </row>
    <row r="138" spans="1:21" ht="15.6" customHeight="1" x14ac:dyDescent="0.3">
      <c r="A138" s="1" t="str">
        <f t="shared" si="42"/>
        <v>ORD-137</v>
      </c>
      <c r="B138" s="10">
        <f t="shared" ca="1" si="43"/>
        <v>45365</v>
      </c>
      <c r="C138" s="7">
        <f t="shared" ca="1" si="44"/>
        <v>45368</v>
      </c>
      <c r="D138" s="1" t="str">
        <f t="shared" ca="1" si="48"/>
        <v>Standard Class</v>
      </c>
      <c r="E138" s="1" t="str">
        <f t="shared" ca="1" si="49"/>
        <v>CU-441</v>
      </c>
      <c r="F138" s="1" t="str">
        <f t="shared" ca="1" si="50"/>
        <v>Ravi Mehta</v>
      </c>
      <c r="G138" s="1" t="str">
        <f t="shared" ca="1" si="51"/>
        <v>Consumer</v>
      </c>
      <c r="H138" s="1" t="str">
        <f t="shared" si="52"/>
        <v>India</v>
      </c>
      <c r="I138" s="1" t="str">
        <f t="shared" ca="1" si="53"/>
        <v>East</v>
      </c>
      <c r="J138" s="1" t="str">
        <f t="shared" ca="1" si="54"/>
        <v>Tamil Nadu</v>
      </c>
      <c r="K138" s="1" t="str">
        <f t="shared" ca="1" si="55"/>
        <v>Kolkata</v>
      </c>
      <c r="L138" s="1" t="str">
        <f t="shared" ca="1" si="56"/>
        <v>Technology</v>
      </c>
      <c r="M138" s="1" t="str">
        <f t="shared" ca="1" si="57"/>
        <v>Mobile</v>
      </c>
      <c r="N138" s="1" t="str">
        <f t="shared" ca="1" si="58"/>
        <v>A4 Paper</v>
      </c>
      <c r="O138" s="1">
        <f t="shared" ca="1" si="59"/>
        <v>10405</v>
      </c>
      <c r="P138" s="1">
        <f t="shared" ca="1" si="60"/>
        <v>10</v>
      </c>
      <c r="Q138" s="19">
        <f t="shared" ca="1" si="61"/>
        <v>0.2</v>
      </c>
      <c r="R138" s="1">
        <f t="shared" ca="1" si="62"/>
        <v>-208.10000000000019</v>
      </c>
      <c r="S138" s="1">
        <f t="shared" ca="1" si="45"/>
        <v>3</v>
      </c>
      <c r="T138" s="19">
        <f t="shared" ca="1" si="46"/>
        <v>-2.0000000000000018E-2</v>
      </c>
      <c r="U138" s="1" t="str">
        <f t="shared" ca="1" si="47"/>
        <v>High Discount</v>
      </c>
    </row>
    <row r="139" spans="1:21" ht="15.6" customHeight="1" x14ac:dyDescent="0.3">
      <c r="A139" s="1" t="str">
        <f t="shared" si="42"/>
        <v>ORD-138</v>
      </c>
      <c r="B139" s="10">
        <f t="shared" ca="1" si="43"/>
        <v>45439</v>
      </c>
      <c r="C139" s="7">
        <f t="shared" ca="1" si="44"/>
        <v>45440</v>
      </c>
      <c r="D139" s="1" t="str">
        <f t="shared" ca="1" si="48"/>
        <v>Second Class</v>
      </c>
      <c r="E139" s="1" t="str">
        <f t="shared" ca="1" si="49"/>
        <v>CU-936</v>
      </c>
      <c r="F139" s="1" t="str">
        <f t="shared" ca="1" si="50"/>
        <v>Priya Singh</v>
      </c>
      <c r="G139" s="1" t="str">
        <f t="shared" ca="1" si="51"/>
        <v>Corporate</v>
      </c>
      <c r="H139" s="1" t="str">
        <f t="shared" si="52"/>
        <v>India</v>
      </c>
      <c r="I139" s="1" t="str">
        <f t="shared" ca="1" si="53"/>
        <v>West</v>
      </c>
      <c r="J139" s="1" t="str">
        <f t="shared" ca="1" si="54"/>
        <v>Delhi</v>
      </c>
      <c r="K139" s="1" t="str">
        <f t="shared" ca="1" si="55"/>
        <v>Kolkata</v>
      </c>
      <c r="L139" s="1" t="str">
        <f t="shared" ca="1" si="56"/>
        <v>Technology</v>
      </c>
      <c r="M139" s="1" t="str">
        <f t="shared" ca="1" si="57"/>
        <v>Mobile</v>
      </c>
      <c r="N139" s="1" t="str">
        <f t="shared" ca="1" si="58"/>
        <v>A4 Paper</v>
      </c>
      <c r="O139" s="1">
        <f t="shared" ca="1" si="59"/>
        <v>9856</v>
      </c>
      <c r="P139" s="1">
        <f t="shared" ca="1" si="60"/>
        <v>1</v>
      </c>
      <c r="Q139" s="19">
        <f t="shared" ca="1" si="61"/>
        <v>0.2</v>
      </c>
      <c r="R139" s="1">
        <f t="shared" ca="1" si="62"/>
        <v>-197.12000000000018</v>
      </c>
      <c r="S139" s="1">
        <f t="shared" ca="1" si="45"/>
        <v>1</v>
      </c>
      <c r="T139" s="19">
        <f t="shared" ca="1" si="46"/>
        <v>-2.0000000000000018E-2</v>
      </c>
      <c r="U139" s="1" t="str">
        <f t="shared" ca="1" si="47"/>
        <v>High Discount</v>
      </c>
    </row>
    <row r="140" spans="1:21" ht="15.6" customHeight="1" x14ac:dyDescent="0.3">
      <c r="A140" s="1" t="str">
        <f t="shared" si="42"/>
        <v>ORD-139</v>
      </c>
      <c r="B140" s="10">
        <f t="shared" ca="1" si="43"/>
        <v>45606</v>
      </c>
      <c r="C140" s="7">
        <f t="shared" ca="1" si="44"/>
        <v>45609</v>
      </c>
      <c r="D140" s="1" t="str">
        <f t="shared" ca="1" si="48"/>
        <v>Standard Class</v>
      </c>
      <c r="E140" s="1" t="str">
        <f t="shared" ca="1" si="49"/>
        <v>CU-399</v>
      </c>
      <c r="F140" s="1" t="str">
        <f t="shared" ca="1" si="50"/>
        <v>Pooja Yadav</v>
      </c>
      <c r="G140" s="1" t="str">
        <f t="shared" ca="1" si="51"/>
        <v>Corporate</v>
      </c>
      <c r="H140" s="1" t="str">
        <f t="shared" si="52"/>
        <v>India</v>
      </c>
      <c r="I140" s="1" t="str">
        <f t="shared" ca="1" si="53"/>
        <v>North</v>
      </c>
      <c r="J140" s="1" t="str">
        <f t="shared" ca="1" si="54"/>
        <v>Gujarat</v>
      </c>
      <c r="K140" s="1" t="str">
        <f t="shared" ca="1" si="55"/>
        <v>Ahmedabad</v>
      </c>
      <c r="L140" s="1" t="str">
        <f t="shared" ca="1" si="56"/>
        <v>Technology</v>
      </c>
      <c r="M140" s="1" t="str">
        <f t="shared" ca="1" si="57"/>
        <v>Paper</v>
      </c>
      <c r="N140" s="1" t="str">
        <f t="shared" ca="1" si="58"/>
        <v>Samsung Galaxy</v>
      </c>
      <c r="O140" s="1">
        <f t="shared" ca="1" si="59"/>
        <v>26937</v>
      </c>
      <c r="P140" s="1">
        <f t="shared" ca="1" si="60"/>
        <v>5</v>
      </c>
      <c r="Q140" s="19">
        <f t="shared" ca="1" si="61"/>
        <v>0</v>
      </c>
      <c r="R140" s="1">
        <f t="shared" ca="1" si="62"/>
        <v>4848.66</v>
      </c>
      <c r="S140" s="1">
        <f t="shared" ca="1" si="45"/>
        <v>3</v>
      </c>
      <c r="T140" s="19">
        <f t="shared" ca="1" si="46"/>
        <v>0.18</v>
      </c>
      <c r="U140" s="1" t="str">
        <f t="shared" ca="1" si="47"/>
        <v>Low Discount</v>
      </c>
    </row>
    <row r="141" spans="1:21" ht="15.6" customHeight="1" x14ac:dyDescent="0.3">
      <c r="A141" s="1" t="str">
        <f t="shared" si="42"/>
        <v>ORD-140</v>
      </c>
      <c r="B141" s="10">
        <f t="shared" ca="1" si="43"/>
        <v>45504</v>
      </c>
      <c r="C141" s="7">
        <f t="shared" ca="1" si="44"/>
        <v>45504</v>
      </c>
      <c r="D141" s="1" t="str">
        <f t="shared" ca="1" si="48"/>
        <v>Second Class</v>
      </c>
      <c r="E141" s="1" t="str">
        <f t="shared" ca="1" si="49"/>
        <v>CU-107</v>
      </c>
      <c r="F141" s="1" t="str">
        <f t="shared" ca="1" si="50"/>
        <v>Ravi Mehta</v>
      </c>
      <c r="G141" s="1" t="str">
        <f t="shared" ca="1" si="51"/>
        <v>Corporate</v>
      </c>
      <c r="H141" s="1" t="str">
        <f t="shared" si="52"/>
        <v>India</v>
      </c>
      <c r="I141" s="1" t="str">
        <f t="shared" ca="1" si="53"/>
        <v>West</v>
      </c>
      <c r="J141" s="1" t="str">
        <f t="shared" ca="1" si="54"/>
        <v>Karnataka</v>
      </c>
      <c r="K141" s="1" t="str">
        <f t="shared" ca="1" si="55"/>
        <v>Mumbai</v>
      </c>
      <c r="L141" s="1" t="str">
        <f t="shared" ca="1" si="56"/>
        <v>Technology</v>
      </c>
      <c r="M141" s="1" t="str">
        <f t="shared" ca="1" si="57"/>
        <v>Laptop</v>
      </c>
      <c r="N141" s="1" t="str">
        <f t="shared" ca="1" si="58"/>
        <v>Wireless Mouse</v>
      </c>
      <c r="O141" s="1">
        <f t="shared" ca="1" si="59"/>
        <v>19526</v>
      </c>
      <c r="P141" s="1">
        <f t="shared" ca="1" si="60"/>
        <v>3</v>
      </c>
      <c r="Q141" s="19">
        <f t="shared" ca="1" si="61"/>
        <v>0.3</v>
      </c>
      <c r="R141" s="1">
        <f t="shared" ca="1" si="62"/>
        <v>-2343.12</v>
      </c>
      <c r="S141" s="1">
        <f t="shared" ca="1" si="45"/>
        <v>0</v>
      </c>
      <c r="T141" s="19">
        <f t="shared" ca="1" si="46"/>
        <v>-0.12</v>
      </c>
      <c r="U141" s="1" t="str">
        <f t="shared" ca="1" si="47"/>
        <v>High Discount</v>
      </c>
    </row>
    <row r="142" spans="1:21" ht="15.6" customHeight="1" x14ac:dyDescent="0.3">
      <c r="A142" s="1" t="str">
        <f t="shared" si="42"/>
        <v>ORD-141</v>
      </c>
      <c r="B142" s="10">
        <f t="shared" ca="1" si="43"/>
        <v>45490</v>
      </c>
      <c r="C142" s="7">
        <f t="shared" ca="1" si="44"/>
        <v>45490</v>
      </c>
      <c r="D142" s="1" t="str">
        <f t="shared" ca="1" si="48"/>
        <v>Second Class</v>
      </c>
      <c r="E142" s="1" t="str">
        <f t="shared" ca="1" si="49"/>
        <v>CU-267</v>
      </c>
      <c r="F142" s="1" t="str">
        <f t="shared" ca="1" si="50"/>
        <v>Priya Singh</v>
      </c>
      <c r="G142" s="1" t="str">
        <f t="shared" ca="1" si="51"/>
        <v>Corporate</v>
      </c>
      <c r="H142" s="1" t="str">
        <f t="shared" si="52"/>
        <v>India</v>
      </c>
      <c r="I142" s="1" t="str">
        <f t="shared" ca="1" si="53"/>
        <v>North</v>
      </c>
      <c r="J142" s="1" t="str">
        <f t="shared" ca="1" si="54"/>
        <v>West Bengal</v>
      </c>
      <c r="K142" s="1" t="str">
        <f t="shared" ca="1" si="55"/>
        <v>Delhi</v>
      </c>
      <c r="L142" s="1" t="str">
        <f t="shared" ca="1" si="56"/>
        <v>Office Supplies</v>
      </c>
      <c r="M142" s="1" t="str">
        <f t="shared" ca="1" si="57"/>
        <v>Chair</v>
      </c>
      <c r="N142" s="1" t="str">
        <f t="shared" ca="1" si="58"/>
        <v>Office Table</v>
      </c>
      <c r="O142" s="1">
        <f t="shared" ca="1" si="59"/>
        <v>38046</v>
      </c>
      <c r="P142" s="1">
        <f t="shared" ca="1" si="60"/>
        <v>8</v>
      </c>
      <c r="Q142" s="19">
        <f t="shared" ca="1" si="61"/>
        <v>0.2</v>
      </c>
      <c r="R142" s="1">
        <f t="shared" ca="1" si="62"/>
        <v>-760.92000000000064</v>
      </c>
      <c r="S142" s="1">
        <f t="shared" ca="1" si="45"/>
        <v>0</v>
      </c>
      <c r="T142" s="19">
        <f t="shared" ca="1" si="46"/>
        <v>-2.0000000000000018E-2</v>
      </c>
      <c r="U142" s="1" t="str">
        <f t="shared" ca="1" si="47"/>
        <v>High Discount</v>
      </c>
    </row>
    <row r="143" spans="1:21" ht="15.6" customHeight="1" x14ac:dyDescent="0.3">
      <c r="A143" s="1" t="str">
        <f t="shared" si="42"/>
        <v>ORD-142</v>
      </c>
      <c r="B143" s="10">
        <f t="shared" ca="1" si="43"/>
        <v>45534</v>
      </c>
      <c r="C143" s="7">
        <f t="shared" ca="1" si="44"/>
        <v>45539</v>
      </c>
      <c r="D143" s="1" t="str">
        <f t="shared" ca="1" si="48"/>
        <v>Same Day</v>
      </c>
      <c r="E143" s="1" t="str">
        <f t="shared" ca="1" si="49"/>
        <v>CU-211</v>
      </c>
      <c r="F143" s="1" t="str">
        <f t="shared" ca="1" si="50"/>
        <v>Sunil Kumar</v>
      </c>
      <c r="G143" s="1" t="str">
        <f t="shared" ca="1" si="51"/>
        <v>Corporate</v>
      </c>
      <c r="H143" s="1" t="str">
        <f t="shared" si="52"/>
        <v>India</v>
      </c>
      <c r="I143" s="1" t="str">
        <f t="shared" ca="1" si="53"/>
        <v>South</v>
      </c>
      <c r="J143" s="1" t="str">
        <f t="shared" ca="1" si="54"/>
        <v>Karnataka</v>
      </c>
      <c r="K143" s="1" t="str">
        <f t="shared" ca="1" si="55"/>
        <v>Ahmedabad</v>
      </c>
      <c r="L143" s="1" t="str">
        <f t="shared" ca="1" si="56"/>
        <v>Office Supplies</v>
      </c>
      <c r="M143" s="1" t="str">
        <f t="shared" ca="1" si="57"/>
        <v>Mobile</v>
      </c>
      <c r="N143" s="1" t="str">
        <f t="shared" ca="1" si="58"/>
        <v>Office Table</v>
      </c>
      <c r="O143" s="1">
        <f t="shared" ca="1" si="59"/>
        <v>12500</v>
      </c>
      <c r="P143" s="1">
        <f t="shared" ca="1" si="60"/>
        <v>5</v>
      </c>
      <c r="Q143" s="19">
        <f t="shared" ca="1" si="61"/>
        <v>0.1</v>
      </c>
      <c r="R143" s="1">
        <f t="shared" ca="1" si="62"/>
        <v>999.99999999999989</v>
      </c>
      <c r="S143" s="1">
        <f t="shared" ca="1" si="45"/>
        <v>5</v>
      </c>
      <c r="T143" s="19">
        <f t="shared" ca="1" si="46"/>
        <v>7.9999999999999988E-2</v>
      </c>
      <c r="U143" s="1" t="str">
        <f t="shared" ca="1" si="47"/>
        <v>Low Discount</v>
      </c>
    </row>
    <row r="144" spans="1:21" ht="15.6" customHeight="1" x14ac:dyDescent="0.3">
      <c r="A144" s="1" t="str">
        <f t="shared" si="42"/>
        <v>ORD-143</v>
      </c>
      <c r="B144" s="10">
        <f t="shared" ca="1" si="43"/>
        <v>45415</v>
      </c>
      <c r="C144" s="7">
        <f t="shared" ca="1" si="44"/>
        <v>45416</v>
      </c>
      <c r="D144" s="1" t="str">
        <f t="shared" ca="1" si="48"/>
        <v>Second Class</v>
      </c>
      <c r="E144" s="1" t="str">
        <f t="shared" ca="1" si="49"/>
        <v>CU-986</v>
      </c>
      <c r="F144" s="1" t="str">
        <f t="shared" ca="1" si="50"/>
        <v>Sunil Kumar</v>
      </c>
      <c r="G144" s="1" t="str">
        <f t="shared" ca="1" si="51"/>
        <v>Corporate</v>
      </c>
      <c r="H144" s="1" t="str">
        <f t="shared" si="52"/>
        <v>India</v>
      </c>
      <c r="I144" s="1" t="str">
        <f t="shared" ca="1" si="53"/>
        <v>North</v>
      </c>
      <c r="J144" s="1" t="str">
        <f t="shared" ca="1" si="54"/>
        <v>West Bengal</v>
      </c>
      <c r="K144" s="1" t="str">
        <f t="shared" ca="1" si="55"/>
        <v>Ahmedabad</v>
      </c>
      <c r="L144" s="1" t="str">
        <f t="shared" ca="1" si="56"/>
        <v>Technology</v>
      </c>
      <c r="M144" s="1" t="str">
        <f t="shared" ca="1" si="57"/>
        <v>Paper</v>
      </c>
      <c r="N144" s="1" t="str">
        <f t="shared" ca="1" si="58"/>
        <v>Office Table</v>
      </c>
      <c r="O144" s="1">
        <f t="shared" ca="1" si="59"/>
        <v>55581</v>
      </c>
      <c r="P144" s="1">
        <f t="shared" ca="1" si="60"/>
        <v>10</v>
      </c>
      <c r="Q144" s="19">
        <f t="shared" ca="1" si="61"/>
        <v>0.1</v>
      </c>
      <c r="R144" s="1">
        <f t="shared" ca="1" si="62"/>
        <v>4446.4799999999996</v>
      </c>
      <c r="S144" s="1">
        <f t="shared" ca="1" si="45"/>
        <v>1</v>
      </c>
      <c r="T144" s="19">
        <f t="shared" ca="1" si="46"/>
        <v>7.9999999999999988E-2</v>
      </c>
      <c r="U144" s="1" t="str">
        <f t="shared" ca="1" si="47"/>
        <v>Low Discount</v>
      </c>
    </row>
    <row r="145" spans="1:21" ht="15.6" customHeight="1" x14ac:dyDescent="0.3">
      <c r="A145" s="1" t="str">
        <f t="shared" si="42"/>
        <v>ORD-144</v>
      </c>
      <c r="B145" s="10">
        <f t="shared" ca="1" si="43"/>
        <v>45327</v>
      </c>
      <c r="C145" s="7">
        <f t="shared" ca="1" si="44"/>
        <v>45332</v>
      </c>
      <c r="D145" s="1" t="str">
        <f t="shared" ca="1" si="48"/>
        <v>Second Class</v>
      </c>
      <c r="E145" s="1" t="str">
        <f t="shared" ca="1" si="49"/>
        <v>CU-457</v>
      </c>
      <c r="F145" s="1" t="str">
        <f t="shared" ca="1" si="50"/>
        <v>Rahul Sharma</v>
      </c>
      <c r="G145" s="1" t="str">
        <f t="shared" ca="1" si="51"/>
        <v>Corporate</v>
      </c>
      <c r="H145" s="1" t="str">
        <f t="shared" si="52"/>
        <v>India</v>
      </c>
      <c r="I145" s="1" t="str">
        <f t="shared" ca="1" si="53"/>
        <v>South</v>
      </c>
      <c r="J145" s="1" t="str">
        <f t="shared" ca="1" si="54"/>
        <v>Gujarat</v>
      </c>
      <c r="K145" s="1" t="str">
        <f t="shared" ca="1" si="55"/>
        <v>Ahmedabad</v>
      </c>
      <c r="L145" s="1" t="str">
        <f t="shared" ca="1" si="56"/>
        <v>Office Supplies</v>
      </c>
      <c r="M145" s="1" t="str">
        <f t="shared" ca="1" si="57"/>
        <v>Laptop</v>
      </c>
      <c r="N145" s="1" t="str">
        <f t="shared" ca="1" si="58"/>
        <v>Office Chair</v>
      </c>
      <c r="O145" s="1">
        <f t="shared" ca="1" si="59"/>
        <v>51996</v>
      </c>
      <c r="P145" s="1">
        <f t="shared" ca="1" si="60"/>
        <v>6</v>
      </c>
      <c r="Q145" s="19">
        <f t="shared" ca="1" si="61"/>
        <v>0.05</v>
      </c>
      <c r="R145" s="1">
        <f t="shared" ca="1" si="62"/>
        <v>6759.4800000000005</v>
      </c>
      <c r="S145" s="1">
        <f t="shared" ca="1" si="45"/>
        <v>5</v>
      </c>
      <c r="T145" s="19">
        <f t="shared" ca="1" si="46"/>
        <v>0.13</v>
      </c>
      <c r="U145" s="1" t="str">
        <f t="shared" ca="1" si="47"/>
        <v>Low Discount</v>
      </c>
    </row>
    <row r="146" spans="1:21" ht="15.6" customHeight="1" x14ac:dyDescent="0.3">
      <c r="A146" s="1" t="str">
        <f t="shared" si="42"/>
        <v>ORD-145</v>
      </c>
      <c r="B146" s="10">
        <f t="shared" ca="1" si="43"/>
        <v>45407</v>
      </c>
      <c r="C146" s="7">
        <f t="shared" ca="1" si="44"/>
        <v>45410</v>
      </c>
      <c r="D146" s="1" t="str">
        <f t="shared" ca="1" si="48"/>
        <v>Same Day</v>
      </c>
      <c r="E146" s="1" t="str">
        <f t="shared" ca="1" si="49"/>
        <v>CU-322</v>
      </c>
      <c r="F146" s="1" t="str">
        <f t="shared" ca="1" si="50"/>
        <v>Amit Verma</v>
      </c>
      <c r="G146" s="1" t="str">
        <f t="shared" ca="1" si="51"/>
        <v>Home Office</v>
      </c>
      <c r="H146" s="1" t="str">
        <f t="shared" si="52"/>
        <v>India</v>
      </c>
      <c r="I146" s="1" t="str">
        <f t="shared" ca="1" si="53"/>
        <v>North</v>
      </c>
      <c r="J146" s="1" t="str">
        <f t="shared" ca="1" si="54"/>
        <v>Tamil Nadu</v>
      </c>
      <c r="K146" s="1" t="str">
        <f t="shared" ca="1" si="55"/>
        <v>Ahmedabad</v>
      </c>
      <c r="L146" s="1" t="str">
        <f t="shared" ca="1" si="56"/>
        <v>Furniture</v>
      </c>
      <c r="M146" s="1" t="str">
        <f t="shared" ca="1" si="57"/>
        <v>Mobile</v>
      </c>
      <c r="N146" s="1" t="str">
        <f t="shared" ca="1" si="58"/>
        <v>Office Chair</v>
      </c>
      <c r="O146" s="1">
        <f t="shared" ca="1" si="59"/>
        <v>54416</v>
      </c>
      <c r="P146" s="1">
        <f t="shared" ca="1" si="60"/>
        <v>4</v>
      </c>
      <c r="Q146" s="19">
        <f t="shared" ca="1" si="61"/>
        <v>0.1</v>
      </c>
      <c r="R146" s="1">
        <f t="shared" ca="1" si="62"/>
        <v>4353.28</v>
      </c>
      <c r="S146" s="1">
        <f t="shared" ca="1" si="45"/>
        <v>3</v>
      </c>
      <c r="T146" s="19">
        <f t="shared" ca="1" si="46"/>
        <v>0.08</v>
      </c>
      <c r="U146" s="1" t="str">
        <f t="shared" ca="1" si="47"/>
        <v>Low Discount</v>
      </c>
    </row>
    <row r="147" spans="1:21" ht="15.6" customHeight="1" x14ac:dyDescent="0.3">
      <c r="A147" s="1" t="str">
        <f t="shared" si="42"/>
        <v>ORD-146</v>
      </c>
      <c r="B147" s="10">
        <f t="shared" ca="1" si="43"/>
        <v>45348</v>
      </c>
      <c r="C147" s="7">
        <f t="shared" ca="1" si="44"/>
        <v>45352</v>
      </c>
      <c r="D147" s="1" t="str">
        <f t="shared" ca="1" si="48"/>
        <v>Standard Class</v>
      </c>
      <c r="E147" s="1" t="str">
        <f t="shared" ca="1" si="49"/>
        <v>CU-999</v>
      </c>
      <c r="F147" s="1" t="str">
        <f t="shared" ca="1" si="50"/>
        <v>Rahul Sharma</v>
      </c>
      <c r="G147" s="1" t="str">
        <f t="shared" ca="1" si="51"/>
        <v>Corporate</v>
      </c>
      <c r="H147" s="1" t="str">
        <f t="shared" si="52"/>
        <v>India</v>
      </c>
      <c r="I147" s="1" t="str">
        <f t="shared" ca="1" si="53"/>
        <v>West</v>
      </c>
      <c r="J147" s="1" t="str">
        <f t="shared" ca="1" si="54"/>
        <v>Delhi</v>
      </c>
      <c r="K147" s="1" t="str">
        <f t="shared" ca="1" si="55"/>
        <v>Chennai</v>
      </c>
      <c r="L147" s="1" t="str">
        <f t="shared" ca="1" si="56"/>
        <v>Office Supplies</v>
      </c>
      <c r="M147" s="1" t="str">
        <f t="shared" ca="1" si="57"/>
        <v>Chair</v>
      </c>
      <c r="N147" s="1" t="str">
        <f t="shared" ca="1" si="58"/>
        <v>Samsung Galaxy</v>
      </c>
      <c r="O147" s="1">
        <f t="shared" ca="1" si="59"/>
        <v>19617</v>
      </c>
      <c r="P147" s="1">
        <f t="shared" ca="1" si="60"/>
        <v>5</v>
      </c>
      <c r="Q147" s="19">
        <f t="shared" ca="1" si="61"/>
        <v>0.05</v>
      </c>
      <c r="R147" s="1">
        <f t="shared" ca="1" si="62"/>
        <v>2550.21</v>
      </c>
      <c r="S147" s="1">
        <f t="shared" ca="1" si="45"/>
        <v>4</v>
      </c>
      <c r="T147" s="19">
        <f t="shared" ca="1" si="46"/>
        <v>0.13</v>
      </c>
      <c r="U147" s="1" t="str">
        <f t="shared" ca="1" si="47"/>
        <v>Low Discount</v>
      </c>
    </row>
    <row r="148" spans="1:21" ht="15.6" customHeight="1" x14ac:dyDescent="0.3">
      <c r="A148" s="1" t="str">
        <f t="shared" si="42"/>
        <v>ORD-147</v>
      </c>
      <c r="B148" s="10">
        <f t="shared" ca="1" si="43"/>
        <v>45564</v>
      </c>
      <c r="C148" s="7">
        <f t="shared" ca="1" si="44"/>
        <v>45566</v>
      </c>
      <c r="D148" s="1" t="str">
        <f t="shared" ca="1" si="48"/>
        <v>Standard Class</v>
      </c>
      <c r="E148" s="1" t="str">
        <f t="shared" ca="1" si="49"/>
        <v>CU-149</v>
      </c>
      <c r="F148" s="1" t="str">
        <f t="shared" ca="1" si="50"/>
        <v>Amit Verma</v>
      </c>
      <c r="G148" s="1" t="str">
        <f t="shared" ca="1" si="51"/>
        <v>Corporate</v>
      </c>
      <c r="H148" s="1" t="str">
        <f t="shared" si="52"/>
        <v>India</v>
      </c>
      <c r="I148" s="1" t="str">
        <f t="shared" ca="1" si="53"/>
        <v>North</v>
      </c>
      <c r="J148" s="1" t="str">
        <f t="shared" ca="1" si="54"/>
        <v>Delhi</v>
      </c>
      <c r="K148" s="1" t="str">
        <f t="shared" ca="1" si="55"/>
        <v>Ahmedabad</v>
      </c>
      <c r="L148" s="1" t="str">
        <f t="shared" ca="1" si="56"/>
        <v>Furniture</v>
      </c>
      <c r="M148" s="1" t="str">
        <f t="shared" ca="1" si="57"/>
        <v>Chair</v>
      </c>
      <c r="N148" s="1" t="str">
        <f t="shared" ca="1" si="58"/>
        <v>Wireless Mouse</v>
      </c>
      <c r="O148" s="1">
        <f t="shared" ca="1" si="59"/>
        <v>34121</v>
      </c>
      <c r="P148" s="1">
        <f t="shared" ca="1" si="60"/>
        <v>7</v>
      </c>
      <c r="Q148" s="19">
        <f t="shared" ca="1" si="61"/>
        <v>0.3</v>
      </c>
      <c r="R148" s="1">
        <f t="shared" ca="1" si="62"/>
        <v>-4094.52</v>
      </c>
      <c r="S148" s="1">
        <f t="shared" ca="1" si="45"/>
        <v>2</v>
      </c>
      <c r="T148" s="19">
        <f t="shared" ca="1" si="46"/>
        <v>-0.12</v>
      </c>
      <c r="U148" s="1" t="str">
        <f t="shared" ca="1" si="47"/>
        <v>High Discount</v>
      </c>
    </row>
    <row r="149" spans="1:21" ht="15.6" customHeight="1" x14ac:dyDescent="0.3">
      <c r="A149" s="1" t="str">
        <f t="shared" si="42"/>
        <v>ORD-148</v>
      </c>
      <c r="B149" s="10">
        <f t="shared" ca="1" si="43"/>
        <v>45514</v>
      </c>
      <c r="C149" s="7">
        <f t="shared" ca="1" si="44"/>
        <v>45518</v>
      </c>
      <c r="D149" s="1" t="str">
        <f t="shared" ca="1" si="48"/>
        <v>Same Day</v>
      </c>
      <c r="E149" s="1" t="str">
        <f t="shared" ca="1" si="49"/>
        <v>CU-454</v>
      </c>
      <c r="F149" s="1" t="str">
        <f t="shared" ca="1" si="50"/>
        <v>Amit Verma</v>
      </c>
      <c r="G149" s="1" t="str">
        <f t="shared" ca="1" si="51"/>
        <v>Home Office</v>
      </c>
      <c r="H149" s="1" t="str">
        <f t="shared" si="52"/>
        <v>India</v>
      </c>
      <c r="I149" s="1" t="str">
        <f t="shared" ca="1" si="53"/>
        <v>North</v>
      </c>
      <c r="J149" s="1" t="str">
        <f t="shared" ca="1" si="54"/>
        <v>Maharashtra</v>
      </c>
      <c r="K149" s="1" t="str">
        <f t="shared" ca="1" si="55"/>
        <v>Kolkata</v>
      </c>
      <c r="L149" s="1" t="str">
        <f t="shared" ca="1" si="56"/>
        <v>Office Supplies</v>
      </c>
      <c r="M149" s="1" t="str">
        <f t="shared" ca="1" si="57"/>
        <v>Table</v>
      </c>
      <c r="N149" s="1" t="str">
        <f t="shared" ca="1" si="58"/>
        <v>Wireless Mouse</v>
      </c>
      <c r="O149" s="1">
        <f t="shared" ca="1" si="59"/>
        <v>39074</v>
      </c>
      <c r="P149" s="1">
        <f t="shared" ca="1" si="60"/>
        <v>6</v>
      </c>
      <c r="Q149" s="19">
        <f t="shared" ca="1" si="61"/>
        <v>0</v>
      </c>
      <c r="R149" s="1">
        <f t="shared" ca="1" si="62"/>
        <v>7033.32</v>
      </c>
      <c r="S149" s="1">
        <f t="shared" ca="1" si="45"/>
        <v>4</v>
      </c>
      <c r="T149" s="19">
        <f t="shared" ca="1" si="46"/>
        <v>0.18</v>
      </c>
      <c r="U149" s="1" t="str">
        <f t="shared" ca="1" si="47"/>
        <v>Low Discount</v>
      </c>
    </row>
    <row r="150" spans="1:21" ht="15.6" customHeight="1" x14ac:dyDescent="0.3">
      <c r="A150" s="1" t="str">
        <f t="shared" si="42"/>
        <v>ORD-149</v>
      </c>
      <c r="B150" s="10">
        <f t="shared" ca="1" si="43"/>
        <v>45321</v>
      </c>
      <c r="C150" s="7">
        <f t="shared" ca="1" si="44"/>
        <v>45326</v>
      </c>
      <c r="D150" s="1" t="str">
        <f t="shared" ca="1" si="48"/>
        <v>Same Day</v>
      </c>
      <c r="E150" s="1" t="str">
        <f t="shared" ca="1" si="49"/>
        <v>CU-715</v>
      </c>
      <c r="F150" s="1" t="str">
        <f t="shared" ca="1" si="50"/>
        <v>Amit Verma</v>
      </c>
      <c r="G150" s="1" t="str">
        <f t="shared" ca="1" si="51"/>
        <v>Corporate</v>
      </c>
      <c r="H150" s="1" t="str">
        <f t="shared" si="52"/>
        <v>India</v>
      </c>
      <c r="I150" s="1" t="str">
        <f t="shared" ca="1" si="53"/>
        <v>West</v>
      </c>
      <c r="J150" s="1" t="str">
        <f t="shared" ca="1" si="54"/>
        <v>Delhi</v>
      </c>
      <c r="K150" s="1" t="str">
        <f t="shared" ca="1" si="55"/>
        <v>Kolkata</v>
      </c>
      <c r="L150" s="1" t="str">
        <f t="shared" ca="1" si="56"/>
        <v>Technology</v>
      </c>
      <c r="M150" s="1" t="str">
        <f t="shared" ca="1" si="57"/>
        <v>Laptop</v>
      </c>
      <c r="N150" s="1" t="str">
        <f t="shared" ca="1" si="58"/>
        <v>Office Chair</v>
      </c>
      <c r="O150" s="1">
        <f t="shared" ca="1" si="59"/>
        <v>58045</v>
      </c>
      <c r="P150" s="1">
        <f t="shared" ca="1" si="60"/>
        <v>9</v>
      </c>
      <c r="Q150" s="19">
        <f t="shared" ca="1" si="61"/>
        <v>0.3</v>
      </c>
      <c r="R150" s="1">
        <f t="shared" ca="1" si="62"/>
        <v>-6965.4</v>
      </c>
      <c r="S150" s="1">
        <f t="shared" ca="1" si="45"/>
        <v>5</v>
      </c>
      <c r="T150" s="19">
        <f t="shared" ca="1" si="46"/>
        <v>-0.12</v>
      </c>
      <c r="U150" s="1" t="str">
        <f t="shared" ca="1" si="47"/>
        <v>High Discount</v>
      </c>
    </row>
    <row r="151" spans="1:21" ht="15.6" customHeight="1" x14ac:dyDescent="0.3">
      <c r="A151" s="1" t="str">
        <f t="shared" si="42"/>
        <v>ORD-150</v>
      </c>
      <c r="B151" s="10">
        <f t="shared" ca="1" si="43"/>
        <v>45529</v>
      </c>
      <c r="C151" s="7">
        <f t="shared" ca="1" si="44"/>
        <v>45529</v>
      </c>
      <c r="D151" s="1" t="str">
        <f t="shared" ca="1" si="48"/>
        <v>Same Day</v>
      </c>
      <c r="E151" s="1" t="str">
        <f t="shared" ca="1" si="49"/>
        <v>CU-811</v>
      </c>
      <c r="F151" s="1" t="str">
        <f t="shared" ca="1" si="50"/>
        <v>Neha Gupta</v>
      </c>
      <c r="G151" s="1" t="str">
        <f t="shared" ca="1" si="51"/>
        <v>Corporate</v>
      </c>
      <c r="H151" s="1" t="str">
        <f t="shared" si="52"/>
        <v>India</v>
      </c>
      <c r="I151" s="1" t="str">
        <f t="shared" ca="1" si="53"/>
        <v>South</v>
      </c>
      <c r="J151" s="1" t="str">
        <f t="shared" ca="1" si="54"/>
        <v>Maharashtra</v>
      </c>
      <c r="K151" s="1" t="str">
        <f t="shared" ca="1" si="55"/>
        <v>Ahmedabad</v>
      </c>
      <c r="L151" s="1" t="str">
        <f t="shared" ca="1" si="56"/>
        <v>Furniture</v>
      </c>
      <c r="M151" s="1" t="str">
        <f t="shared" ca="1" si="57"/>
        <v>Chair</v>
      </c>
      <c r="N151" s="1" t="str">
        <f t="shared" ca="1" si="58"/>
        <v>HP Pavilion</v>
      </c>
      <c r="O151" s="1">
        <f t="shared" ca="1" si="59"/>
        <v>52302</v>
      </c>
      <c r="P151" s="1">
        <f t="shared" ca="1" si="60"/>
        <v>7</v>
      </c>
      <c r="Q151" s="19">
        <f t="shared" ca="1" si="61"/>
        <v>0.1</v>
      </c>
      <c r="R151" s="1">
        <f t="shared" ca="1" si="62"/>
        <v>4184.1599999999989</v>
      </c>
      <c r="S151" s="1">
        <f t="shared" ca="1" si="45"/>
        <v>0</v>
      </c>
      <c r="T151" s="19">
        <f t="shared" ca="1" si="46"/>
        <v>7.9999999999999974E-2</v>
      </c>
      <c r="U151" s="1" t="str">
        <f t="shared" ca="1" si="47"/>
        <v>Low Discount</v>
      </c>
    </row>
    <row r="152" spans="1:21" ht="15.6" customHeight="1" x14ac:dyDescent="0.3">
      <c r="A152" s="1" t="str">
        <f t="shared" si="42"/>
        <v>ORD-151</v>
      </c>
      <c r="B152" s="10">
        <f t="shared" ca="1" si="43"/>
        <v>45428</v>
      </c>
      <c r="C152" s="7">
        <f t="shared" ca="1" si="44"/>
        <v>45430</v>
      </c>
      <c r="D152" s="1" t="str">
        <f t="shared" ca="1" si="48"/>
        <v>Second Class</v>
      </c>
      <c r="E152" s="1" t="str">
        <f t="shared" ca="1" si="49"/>
        <v>CU-156</v>
      </c>
      <c r="F152" s="1" t="str">
        <f t="shared" ca="1" si="50"/>
        <v>Ravi Mehta</v>
      </c>
      <c r="G152" s="1" t="str">
        <f t="shared" ca="1" si="51"/>
        <v>Consumer</v>
      </c>
      <c r="H152" s="1" t="str">
        <f t="shared" si="52"/>
        <v>India</v>
      </c>
      <c r="I152" s="1" t="str">
        <f t="shared" ca="1" si="53"/>
        <v>South</v>
      </c>
      <c r="J152" s="1" t="str">
        <f t="shared" ca="1" si="54"/>
        <v>Maharashtra</v>
      </c>
      <c r="K152" s="1" t="str">
        <f t="shared" ca="1" si="55"/>
        <v>Bangalore</v>
      </c>
      <c r="L152" s="1" t="str">
        <f t="shared" ca="1" si="56"/>
        <v>Office Supplies</v>
      </c>
      <c r="M152" s="1" t="str">
        <f t="shared" ca="1" si="57"/>
        <v>Paper</v>
      </c>
      <c r="N152" s="1" t="str">
        <f t="shared" ca="1" si="58"/>
        <v>Wireless Mouse</v>
      </c>
      <c r="O152" s="1">
        <f t="shared" ca="1" si="59"/>
        <v>27101</v>
      </c>
      <c r="P152" s="1">
        <f t="shared" ca="1" si="60"/>
        <v>5</v>
      </c>
      <c r="Q152" s="19">
        <f t="shared" ca="1" si="61"/>
        <v>0.1</v>
      </c>
      <c r="R152" s="1">
        <f t="shared" ca="1" si="62"/>
        <v>2168.0799999999995</v>
      </c>
      <c r="S152" s="1">
        <f t="shared" ca="1" si="45"/>
        <v>2</v>
      </c>
      <c r="T152" s="19">
        <f t="shared" ca="1" si="46"/>
        <v>7.9999999999999974E-2</v>
      </c>
      <c r="U152" s="1" t="str">
        <f t="shared" ca="1" si="47"/>
        <v>Low Discount</v>
      </c>
    </row>
    <row r="153" spans="1:21" ht="15.6" customHeight="1" x14ac:dyDescent="0.3">
      <c r="A153" s="1" t="str">
        <f t="shared" si="42"/>
        <v>ORD-152</v>
      </c>
      <c r="B153" s="10">
        <f t="shared" ca="1" si="43"/>
        <v>45571</v>
      </c>
      <c r="C153" s="7">
        <f t="shared" ca="1" si="44"/>
        <v>45574</v>
      </c>
      <c r="D153" s="1" t="str">
        <f t="shared" ca="1" si="48"/>
        <v>Standard Class</v>
      </c>
      <c r="E153" s="1" t="str">
        <f t="shared" ca="1" si="49"/>
        <v>CU-379</v>
      </c>
      <c r="F153" s="1" t="str">
        <f t="shared" ca="1" si="50"/>
        <v>Neha Gupta</v>
      </c>
      <c r="G153" s="1" t="str">
        <f t="shared" ca="1" si="51"/>
        <v>Corporate</v>
      </c>
      <c r="H153" s="1" t="str">
        <f t="shared" si="52"/>
        <v>India</v>
      </c>
      <c r="I153" s="1" t="str">
        <f t="shared" ca="1" si="53"/>
        <v>East</v>
      </c>
      <c r="J153" s="1" t="str">
        <f t="shared" ca="1" si="54"/>
        <v>West Bengal</v>
      </c>
      <c r="K153" s="1" t="str">
        <f t="shared" ca="1" si="55"/>
        <v>Ahmedabad</v>
      </c>
      <c r="L153" s="1" t="str">
        <f t="shared" ca="1" si="56"/>
        <v>Technology</v>
      </c>
      <c r="M153" s="1" t="str">
        <f t="shared" ca="1" si="57"/>
        <v>Paper</v>
      </c>
      <c r="N153" s="1" t="str">
        <f t="shared" ca="1" si="58"/>
        <v>A4 Paper</v>
      </c>
      <c r="O153" s="1">
        <f t="shared" ca="1" si="59"/>
        <v>20429</v>
      </c>
      <c r="P153" s="1">
        <f t="shared" ca="1" si="60"/>
        <v>8</v>
      </c>
      <c r="Q153" s="19">
        <f t="shared" ca="1" si="61"/>
        <v>0</v>
      </c>
      <c r="R153" s="1">
        <f t="shared" ca="1" si="62"/>
        <v>3677.22</v>
      </c>
      <c r="S153" s="1">
        <f t="shared" ca="1" si="45"/>
        <v>3</v>
      </c>
      <c r="T153" s="19">
        <f t="shared" ca="1" si="46"/>
        <v>0.18</v>
      </c>
      <c r="U153" s="1" t="str">
        <f t="shared" ca="1" si="47"/>
        <v>Low Discount</v>
      </c>
    </row>
    <row r="154" spans="1:21" ht="15.6" customHeight="1" x14ac:dyDescent="0.3">
      <c r="A154" s="1" t="str">
        <f t="shared" si="42"/>
        <v>ORD-153</v>
      </c>
      <c r="B154" s="10">
        <f t="shared" ca="1" si="43"/>
        <v>45427</v>
      </c>
      <c r="C154" s="7">
        <f t="shared" ca="1" si="44"/>
        <v>45430</v>
      </c>
      <c r="D154" s="1" t="str">
        <f t="shared" ca="1" si="48"/>
        <v>Second Class</v>
      </c>
      <c r="E154" s="1" t="str">
        <f t="shared" ca="1" si="49"/>
        <v>CU-970</v>
      </c>
      <c r="F154" s="1" t="str">
        <f t="shared" ca="1" si="50"/>
        <v>Sunil Kumar</v>
      </c>
      <c r="G154" s="1" t="str">
        <f t="shared" ca="1" si="51"/>
        <v>Home Office</v>
      </c>
      <c r="H154" s="1" t="str">
        <f t="shared" si="52"/>
        <v>India</v>
      </c>
      <c r="I154" s="1" t="str">
        <f t="shared" ca="1" si="53"/>
        <v>West</v>
      </c>
      <c r="J154" s="1" t="str">
        <f t="shared" ca="1" si="54"/>
        <v>Karnataka</v>
      </c>
      <c r="K154" s="1" t="str">
        <f t="shared" ca="1" si="55"/>
        <v>Kolkata</v>
      </c>
      <c r="L154" s="1" t="str">
        <f t="shared" ca="1" si="56"/>
        <v>Office Supplies</v>
      </c>
      <c r="M154" s="1" t="str">
        <f t="shared" ca="1" si="57"/>
        <v>Chair</v>
      </c>
      <c r="N154" s="1" t="str">
        <f t="shared" ca="1" si="58"/>
        <v>A4 Paper</v>
      </c>
      <c r="O154" s="1">
        <f t="shared" ca="1" si="59"/>
        <v>35152</v>
      </c>
      <c r="P154" s="1">
        <f t="shared" ca="1" si="60"/>
        <v>6</v>
      </c>
      <c r="Q154" s="19">
        <f t="shared" ca="1" si="61"/>
        <v>0.3</v>
      </c>
      <c r="R154" s="1">
        <f t="shared" ca="1" si="62"/>
        <v>-4218.24</v>
      </c>
      <c r="S154" s="1">
        <f t="shared" ca="1" si="45"/>
        <v>3</v>
      </c>
      <c r="T154" s="19">
        <f t="shared" ca="1" si="46"/>
        <v>-0.12</v>
      </c>
      <c r="U154" s="1" t="str">
        <f t="shared" ca="1" si="47"/>
        <v>High Discount</v>
      </c>
    </row>
    <row r="155" spans="1:21" ht="15.6" customHeight="1" x14ac:dyDescent="0.3">
      <c r="A155" s="1" t="str">
        <f t="shared" si="42"/>
        <v>ORD-154</v>
      </c>
      <c r="B155" s="10">
        <f t="shared" ca="1" si="43"/>
        <v>45469</v>
      </c>
      <c r="C155" s="7">
        <f t="shared" ca="1" si="44"/>
        <v>45469</v>
      </c>
      <c r="D155" s="1" t="str">
        <f t="shared" ca="1" si="48"/>
        <v>Second Class</v>
      </c>
      <c r="E155" s="1" t="str">
        <f t="shared" ca="1" si="49"/>
        <v>CU-676</v>
      </c>
      <c r="F155" s="1" t="str">
        <f t="shared" ca="1" si="50"/>
        <v>Rahul Sharma</v>
      </c>
      <c r="G155" s="1" t="str">
        <f t="shared" ca="1" si="51"/>
        <v>Consumer</v>
      </c>
      <c r="H155" s="1" t="str">
        <f t="shared" si="52"/>
        <v>India</v>
      </c>
      <c r="I155" s="1" t="str">
        <f t="shared" ca="1" si="53"/>
        <v>North</v>
      </c>
      <c r="J155" s="1" t="str">
        <f t="shared" ca="1" si="54"/>
        <v>Karnataka</v>
      </c>
      <c r="K155" s="1" t="str">
        <f t="shared" ca="1" si="55"/>
        <v>Chennai</v>
      </c>
      <c r="L155" s="1" t="str">
        <f t="shared" ca="1" si="56"/>
        <v>Office Supplies</v>
      </c>
      <c r="M155" s="1" t="str">
        <f t="shared" ca="1" si="57"/>
        <v>Mobile</v>
      </c>
      <c r="N155" s="1" t="str">
        <f t="shared" ca="1" si="58"/>
        <v>Office Table</v>
      </c>
      <c r="O155" s="1">
        <f t="shared" ca="1" si="59"/>
        <v>40700</v>
      </c>
      <c r="P155" s="1">
        <f t="shared" ca="1" si="60"/>
        <v>8</v>
      </c>
      <c r="Q155" s="19">
        <f t="shared" ca="1" si="61"/>
        <v>0</v>
      </c>
      <c r="R155" s="1">
        <f t="shared" ca="1" si="62"/>
        <v>7326</v>
      </c>
      <c r="S155" s="1">
        <f t="shared" ca="1" si="45"/>
        <v>0</v>
      </c>
      <c r="T155" s="19">
        <f t="shared" ca="1" si="46"/>
        <v>0.18</v>
      </c>
      <c r="U155" s="1" t="str">
        <f t="shared" ca="1" si="47"/>
        <v>Low Discount</v>
      </c>
    </row>
    <row r="156" spans="1:21" ht="15.6" customHeight="1" x14ac:dyDescent="0.3">
      <c r="A156" s="1" t="str">
        <f t="shared" si="42"/>
        <v>ORD-155</v>
      </c>
      <c r="B156" s="10">
        <f t="shared" ca="1" si="43"/>
        <v>45541</v>
      </c>
      <c r="C156" s="7">
        <f t="shared" ca="1" si="44"/>
        <v>45544</v>
      </c>
      <c r="D156" s="1" t="str">
        <f t="shared" ca="1" si="48"/>
        <v>Standard Class</v>
      </c>
      <c r="E156" s="1" t="str">
        <f t="shared" ca="1" si="49"/>
        <v>CU-953</v>
      </c>
      <c r="F156" s="1" t="str">
        <f t="shared" ca="1" si="50"/>
        <v>Sunil Kumar</v>
      </c>
      <c r="G156" s="1" t="str">
        <f t="shared" ca="1" si="51"/>
        <v>Corporate</v>
      </c>
      <c r="H156" s="1" t="str">
        <f t="shared" si="52"/>
        <v>India</v>
      </c>
      <c r="I156" s="1" t="str">
        <f t="shared" ca="1" si="53"/>
        <v>West</v>
      </c>
      <c r="J156" s="1" t="str">
        <f t="shared" ca="1" si="54"/>
        <v>Maharashtra</v>
      </c>
      <c r="K156" s="1" t="str">
        <f t="shared" ca="1" si="55"/>
        <v>Chennai</v>
      </c>
      <c r="L156" s="1" t="str">
        <f t="shared" ca="1" si="56"/>
        <v>Office Supplies</v>
      </c>
      <c r="M156" s="1" t="str">
        <f t="shared" ca="1" si="57"/>
        <v>Chair</v>
      </c>
      <c r="N156" s="1" t="str">
        <f t="shared" ca="1" si="58"/>
        <v>Office Chair</v>
      </c>
      <c r="O156" s="1">
        <f t="shared" ca="1" si="59"/>
        <v>54920</v>
      </c>
      <c r="P156" s="1">
        <f t="shared" ca="1" si="60"/>
        <v>9</v>
      </c>
      <c r="Q156" s="19">
        <f t="shared" ca="1" si="61"/>
        <v>0.2</v>
      </c>
      <c r="R156" s="1">
        <f t="shared" ca="1" si="62"/>
        <v>-1098.400000000001</v>
      </c>
      <c r="S156" s="1">
        <f t="shared" ca="1" si="45"/>
        <v>3</v>
      </c>
      <c r="T156" s="19">
        <f t="shared" ca="1" si="46"/>
        <v>-2.0000000000000018E-2</v>
      </c>
      <c r="U156" s="1" t="str">
        <f t="shared" ca="1" si="47"/>
        <v>High Discount</v>
      </c>
    </row>
    <row r="157" spans="1:21" ht="15.6" customHeight="1" x14ac:dyDescent="0.3">
      <c r="A157" s="1" t="str">
        <f t="shared" si="42"/>
        <v>ORD-156</v>
      </c>
      <c r="B157" s="10">
        <f t="shared" ca="1" si="43"/>
        <v>45554</v>
      </c>
      <c r="C157" s="7">
        <f t="shared" ca="1" si="44"/>
        <v>45557</v>
      </c>
      <c r="D157" s="1" t="str">
        <f t="shared" ca="1" si="48"/>
        <v>Standard Class</v>
      </c>
      <c r="E157" s="1" t="str">
        <f t="shared" ca="1" si="49"/>
        <v>CU-605</v>
      </c>
      <c r="F157" s="1" t="str">
        <f t="shared" ca="1" si="50"/>
        <v>Ravi Mehta</v>
      </c>
      <c r="G157" s="1" t="str">
        <f t="shared" ca="1" si="51"/>
        <v>Corporate</v>
      </c>
      <c r="H157" s="1" t="str">
        <f t="shared" si="52"/>
        <v>India</v>
      </c>
      <c r="I157" s="1" t="str">
        <f t="shared" ca="1" si="53"/>
        <v>South</v>
      </c>
      <c r="J157" s="1" t="str">
        <f t="shared" ca="1" si="54"/>
        <v>Gujarat</v>
      </c>
      <c r="K157" s="1" t="str">
        <f t="shared" ca="1" si="55"/>
        <v>Kolkata</v>
      </c>
      <c r="L157" s="1" t="str">
        <f t="shared" ca="1" si="56"/>
        <v>Technology</v>
      </c>
      <c r="M157" s="1" t="str">
        <f t="shared" ca="1" si="57"/>
        <v>Paper</v>
      </c>
      <c r="N157" s="1" t="str">
        <f t="shared" ca="1" si="58"/>
        <v>Wireless Mouse</v>
      </c>
      <c r="O157" s="1">
        <f t="shared" ca="1" si="59"/>
        <v>35183</v>
      </c>
      <c r="P157" s="1">
        <f t="shared" ca="1" si="60"/>
        <v>3</v>
      </c>
      <c r="Q157" s="19">
        <f t="shared" ca="1" si="61"/>
        <v>0.1</v>
      </c>
      <c r="R157" s="1">
        <f t="shared" ca="1" si="62"/>
        <v>2814.6399999999994</v>
      </c>
      <c r="S157" s="1">
        <f t="shared" ca="1" si="45"/>
        <v>3</v>
      </c>
      <c r="T157" s="19">
        <f t="shared" ca="1" si="46"/>
        <v>7.9999999999999988E-2</v>
      </c>
      <c r="U157" s="1" t="str">
        <f t="shared" ca="1" si="47"/>
        <v>Low Discount</v>
      </c>
    </row>
    <row r="158" spans="1:21" ht="15.6" customHeight="1" x14ac:dyDescent="0.3">
      <c r="A158" s="1" t="str">
        <f t="shared" si="42"/>
        <v>ORD-157</v>
      </c>
      <c r="B158" s="10">
        <f t="shared" ca="1" si="43"/>
        <v>45616</v>
      </c>
      <c r="C158" s="7">
        <f t="shared" ca="1" si="44"/>
        <v>45617</v>
      </c>
      <c r="D158" s="1" t="str">
        <f t="shared" ca="1" si="48"/>
        <v>Second Class</v>
      </c>
      <c r="E158" s="1" t="str">
        <f t="shared" ca="1" si="49"/>
        <v>CU-355</v>
      </c>
      <c r="F158" s="1" t="str">
        <f t="shared" ca="1" si="50"/>
        <v>Pooja Yadav</v>
      </c>
      <c r="G158" s="1" t="str">
        <f t="shared" ca="1" si="51"/>
        <v>Home Office</v>
      </c>
      <c r="H158" s="1" t="str">
        <f t="shared" si="52"/>
        <v>India</v>
      </c>
      <c r="I158" s="1" t="str">
        <f t="shared" ca="1" si="53"/>
        <v>North</v>
      </c>
      <c r="J158" s="1" t="str">
        <f t="shared" ca="1" si="54"/>
        <v>Karnataka</v>
      </c>
      <c r="K158" s="1" t="str">
        <f t="shared" ca="1" si="55"/>
        <v>Chennai</v>
      </c>
      <c r="L158" s="1" t="str">
        <f t="shared" ca="1" si="56"/>
        <v>Office Supplies</v>
      </c>
      <c r="M158" s="1" t="str">
        <f t="shared" ca="1" si="57"/>
        <v>Mobile</v>
      </c>
      <c r="N158" s="1" t="str">
        <f t="shared" ca="1" si="58"/>
        <v>HP Pavilion</v>
      </c>
      <c r="O158" s="1">
        <f t="shared" ca="1" si="59"/>
        <v>33954</v>
      </c>
      <c r="P158" s="1">
        <f t="shared" ca="1" si="60"/>
        <v>8</v>
      </c>
      <c r="Q158" s="19">
        <f t="shared" ca="1" si="61"/>
        <v>0.3</v>
      </c>
      <c r="R158" s="1">
        <f t="shared" ca="1" si="62"/>
        <v>-4074.48</v>
      </c>
      <c r="S158" s="1">
        <f t="shared" ca="1" si="45"/>
        <v>1</v>
      </c>
      <c r="T158" s="19">
        <f t="shared" ca="1" si="46"/>
        <v>-0.12</v>
      </c>
      <c r="U158" s="1" t="str">
        <f t="shared" ca="1" si="47"/>
        <v>High Discount</v>
      </c>
    </row>
    <row r="159" spans="1:21" ht="15.6" customHeight="1" x14ac:dyDescent="0.3">
      <c r="A159" s="1" t="str">
        <f t="shared" si="42"/>
        <v>ORD-158</v>
      </c>
      <c r="B159" s="10">
        <f t="shared" ca="1" si="43"/>
        <v>45461</v>
      </c>
      <c r="C159" s="7">
        <f t="shared" ca="1" si="44"/>
        <v>45462</v>
      </c>
      <c r="D159" s="1" t="str">
        <f t="shared" ca="1" si="48"/>
        <v>Standard Class</v>
      </c>
      <c r="E159" s="1" t="str">
        <f t="shared" ca="1" si="49"/>
        <v>CU-237</v>
      </c>
      <c r="F159" s="1" t="str">
        <f t="shared" ca="1" si="50"/>
        <v>Ravi Mehta</v>
      </c>
      <c r="G159" s="1" t="str">
        <f t="shared" ca="1" si="51"/>
        <v>Home Office</v>
      </c>
      <c r="H159" s="1" t="str">
        <f t="shared" si="52"/>
        <v>India</v>
      </c>
      <c r="I159" s="1" t="str">
        <f t="shared" ca="1" si="53"/>
        <v>West</v>
      </c>
      <c r="J159" s="1" t="str">
        <f t="shared" ca="1" si="54"/>
        <v>Tamil Nadu</v>
      </c>
      <c r="K159" s="1" t="str">
        <f t="shared" ca="1" si="55"/>
        <v>Delhi</v>
      </c>
      <c r="L159" s="1" t="str">
        <f t="shared" ca="1" si="56"/>
        <v>Technology</v>
      </c>
      <c r="M159" s="1" t="str">
        <f t="shared" ca="1" si="57"/>
        <v>Chair</v>
      </c>
      <c r="N159" s="1" t="str">
        <f t="shared" ca="1" si="58"/>
        <v>Office Table</v>
      </c>
      <c r="O159" s="1">
        <f t="shared" ca="1" si="59"/>
        <v>57470</v>
      </c>
      <c r="P159" s="1">
        <f t="shared" ca="1" si="60"/>
        <v>7</v>
      </c>
      <c r="Q159" s="19">
        <f t="shared" ca="1" si="61"/>
        <v>0.05</v>
      </c>
      <c r="R159" s="1">
        <f t="shared" ca="1" si="62"/>
        <v>7471.1</v>
      </c>
      <c r="S159" s="1">
        <f t="shared" ca="1" si="45"/>
        <v>1</v>
      </c>
      <c r="T159" s="19">
        <f t="shared" ca="1" si="46"/>
        <v>0.13</v>
      </c>
      <c r="U159" s="1" t="str">
        <f t="shared" ca="1" si="47"/>
        <v>Low Discount</v>
      </c>
    </row>
    <row r="160" spans="1:21" ht="15.6" customHeight="1" x14ac:dyDescent="0.3">
      <c r="A160" s="1" t="str">
        <f t="shared" si="42"/>
        <v>ORD-159</v>
      </c>
      <c r="B160" s="10">
        <f t="shared" ca="1" si="43"/>
        <v>45511</v>
      </c>
      <c r="C160" s="7">
        <f t="shared" ca="1" si="44"/>
        <v>45513</v>
      </c>
      <c r="D160" s="1" t="str">
        <f t="shared" ca="1" si="48"/>
        <v>Standard Class</v>
      </c>
      <c r="E160" s="1" t="str">
        <f t="shared" ca="1" si="49"/>
        <v>CU-452</v>
      </c>
      <c r="F160" s="1" t="str">
        <f t="shared" ca="1" si="50"/>
        <v>Arjun Malhotra</v>
      </c>
      <c r="G160" s="1" t="str">
        <f t="shared" ca="1" si="51"/>
        <v>Home Office</v>
      </c>
      <c r="H160" s="1" t="str">
        <f t="shared" si="52"/>
        <v>India</v>
      </c>
      <c r="I160" s="1" t="str">
        <f t="shared" ca="1" si="53"/>
        <v>East</v>
      </c>
      <c r="J160" s="1" t="str">
        <f t="shared" ca="1" si="54"/>
        <v>West Bengal</v>
      </c>
      <c r="K160" s="1" t="str">
        <f t="shared" ca="1" si="55"/>
        <v>Mumbai</v>
      </c>
      <c r="L160" s="1" t="str">
        <f t="shared" ca="1" si="56"/>
        <v>Office Supplies</v>
      </c>
      <c r="M160" s="1" t="str">
        <f t="shared" ca="1" si="57"/>
        <v>Laptop</v>
      </c>
      <c r="N160" s="1" t="str">
        <f t="shared" ca="1" si="58"/>
        <v>Office Chair</v>
      </c>
      <c r="O160" s="1">
        <f t="shared" ca="1" si="59"/>
        <v>44798</v>
      </c>
      <c r="P160" s="1">
        <f t="shared" ca="1" si="60"/>
        <v>1</v>
      </c>
      <c r="Q160" s="19">
        <f t="shared" ca="1" si="61"/>
        <v>0.05</v>
      </c>
      <c r="R160" s="1">
        <f t="shared" ca="1" si="62"/>
        <v>5823.74</v>
      </c>
      <c r="S160" s="1">
        <f t="shared" ca="1" si="45"/>
        <v>2</v>
      </c>
      <c r="T160" s="19">
        <f t="shared" ca="1" si="46"/>
        <v>0.13</v>
      </c>
      <c r="U160" s="1" t="str">
        <f t="shared" ca="1" si="47"/>
        <v>Low Discount</v>
      </c>
    </row>
    <row r="161" spans="1:21" ht="15.6" customHeight="1" x14ac:dyDescent="0.3">
      <c r="A161" s="1" t="str">
        <f t="shared" si="42"/>
        <v>ORD-160</v>
      </c>
      <c r="B161" s="10">
        <f t="shared" ca="1" si="43"/>
        <v>45517</v>
      </c>
      <c r="C161" s="7">
        <f t="shared" ca="1" si="44"/>
        <v>45518</v>
      </c>
      <c r="D161" s="1" t="str">
        <f t="shared" ca="1" si="48"/>
        <v>Standard Class</v>
      </c>
      <c r="E161" s="1" t="str">
        <f t="shared" ca="1" si="49"/>
        <v>CU-250</v>
      </c>
      <c r="F161" s="1" t="str">
        <f t="shared" ca="1" si="50"/>
        <v>Amit Verma</v>
      </c>
      <c r="G161" s="1" t="str">
        <f t="shared" ca="1" si="51"/>
        <v>Home Office</v>
      </c>
      <c r="H161" s="1" t="str">
        <f t="shared" si="52"/>
        <v>India</v>
      </c>
      <c r="I161" s="1" t="str">
        <f t="shared" ca="1" si="53"/>
        <v>South</v>
      </c>
      <c r="J161" s="1" t="str">
        <f t="shared" ca="1" si="54"/>
        <v>Maharashtra</v>
      </c>
      <c r="K161" s="1" t="str">
        <f t="shared" ca="1" si="55"/>
        <v>Kolkata</v>
      </c>
      <c r="L161" s="1" t="str">
        <f t="shared" ca="1" si="56"/>
        <v>Office Supplies</v>
      </c>
      <c r="M161" s="1" t="str">
        <f t="shared" ca="1" si="57"/>
        <v>Mobile</v>
      </c>
      <c r="N161" s="1" t="str">
        <f t="shared" ca="1" si="58"/>
        <v>Wireless Mouse</v>
      </c>
      <c r="O161" s="1">
        <f t="shared" ca="1" si="59"/>
        <v>1751</v>
      </c>
      <c r="P161" s="1">
        <f t="shared" ca="1" si="60"/>
        <v>7</v>
      </c>
      <c r="Q161" s="19">
        <f t="shared" ca="1" si="61"/>
        <v>0.2</v>
      </c>
      <c r="R161" s="1">
        <f t="shared" ca="1" si="62"/>
        <v>-35.020000000000032</v>
      </c>
      <c r="S161" s="1">
        <f t="shared" ca="1" si="45"/>
        <v>1</v>
      </c>
      <c r="T161" s="19">
        <f t="shared" ca="1" si="46"/>
        <v>-2.0000000000000018E-2</v>
      </c>
      <c r="U161" s="1" t="str">
        <f t="shared" ca="1" si="47"/>
        <v>High Discount</v>
      </c>
    </row>
    <row r="162" spans="1:21" ht="15.6" customHeight="1" x14ac:dyDescent="0.3">
      <c r="A162" s="1" t="str">
        <f t="shared" si="42"/>
        <v>ORD-161</v>
      </c>
      <c r="B162" s="10">
        <f t="shared" ca="1" si="43"/>
        <v>45495</v>
      </c>
      <c r="C162" s="7">
        <f t="shared" ca="1" si="44"/>
        <v>45500</v>
      </c>
      <c r="D162" s="1" t="str">
        <f t="shared" ca="1" si="48"/>
        <v>Second Class</v>
      </c>
      <c r="E162" s="1" t="str">
        <f t="shared" ca="1" si="49"/>
        <v>CU-119</v>
      </c>
      <c r="F162" s="1" t="str">
        <f t="shared" ca="1" si="50"/>
        <v>Priya Singh</v>
      </c>
      <c r="G162" s="1" t="str">
        <f t="shared" ca="1" si="51"/>
        <v>Corporate</v>
      </c>
      <c r="H162" s="1" t="str">
        <f t="shared" si="52"/>
        <v>India</v>
      </c>
      <c r="I162" s="1" t="str">
        <f t="shared" ca="1" si="53"/>
        <v>East</v>
      </c>
      <c r="J162" s="1" t="str">
        <f t="shared" ca="1" si="54"/>
        <v>Karnataka</v>
      </c>
      <c r="K162" s="1" t="str">
        <f t="shared" ca="1" si="55"/>
        <v>Mumbai</v>
      </c>
      <c r="L162" s="1" t="str">
        <f t="shared" ca="1" si="56"/>
        <v>Technology</v>
      </c>
      <c r="M162" s="1" t="str">
        <f t="shared" ca="1" si="57"/>
        <v>Laptop</v>
      </c>
      <c r="N162" s="1" t="str">
        <f t="shared" ca="1" si="58"/>
        <v>Office Table</v>
      </c>
      <c r="O162" s="1">
        <f t="shared" ca="1" si="59"/>
        <v>26559</v>
      </c>
      <c r="P162" s="1">
        <f t="shared" ca="1" si="60"/>
        <v>3</v>
      </c>
      <c r="Q162" s="19">
        <f t="shared" ca="1" si="61"/>
        <v>0</v>
      </c>
      <c r="R162" s="1">
        <f t="shared" ca="1" si="62"/>
        <v>4780.62</v>
      </c>
      <c r="S162" s="1">
        <f t="shared" ca="1" si="45"/>
        <v>5</v>
      </c>
      <c r="T162" s="19">
        <f t="shared" ca="1" si="46"/>
        <v>0.18</v>
      </c>
      <c r="U162" s="1" t="str">
        <f t="shared" ca="1" si="47"/>
        <v>Low Discount</v>
      </c>
    </row>
    <row r="163" spans="1:21" ht="15.6" customHeight="1" x14ac:dyDescent="0.3">
      <c r="A163" s="1" t="str">
        <f t="shared" si="42"/>
        <v>ORD-162</v>
      </c>
      <c r="B163" s="10">
        <f t="shared" ca="1" si="43"/>
        <v>45461</v>
      </c>
      <c r="C163" s="7">
        <f t="shared" ca="1" si="44"/>
        <v>45462</v>
      </c>
      <c r="D163" s="1" t="str">
        <f t="shared" ca="1" si="48"/>
        <v>Second Class</v>
      </c>
      <c r="E163" s="1" t="str">
        <f t="shared" ca="1" si="49"/>
        <v>CU-500</v>
      </c>
      <c r="F163" s="1" t="str">
        <f t="shared" ca="1" si="50"/>
        <v>Arjun Malhotra</v>
      </c>
      <c r="G163" s="1" t="str">
        <f t="shared" ca="1" si="51"/>
        <v>Consumer</v>
      </c>
      <c r="H163" s="1" t="str">
        <f t="shared" si="52"/>
        <v>India</v>
      </c>
      <c r="I163" s="1" t="str">
        <f t="shared" ca="1" si="53"/>
        <v>North</v>
      </c>
      <c r="J163" s="1" t="str">
        <f t="shared" ca="1" si="54"/>
        <v>West Bengal</v>
      </c>
      <c r="K163" s="1" t="str">
        <f t="shared" ca="1" si="55"/>
        <v>Bangalore</v>
      </c>
      <c r="L163" s="1" t="str">
        <f t="shared" ca="1" si="56"/>
        <v>Furniture</v>
      </c>
      <c r="M163" s="1" t="str">
        <f t="shared" ca="1" si="57"/>
        <v>Paper</v>
      </c>
      <c r="N163" s="1" t="str">
        <f t="shared" ca="1" si="58"/>
        <v>HP Pavilion</v>
      </c>
      <c r="O163" s="1">
        <f t="shared" ca="1" si="59"/>
        <v>22703</v>
      </c>
      <c r="P163" s="1">
        <f t="shared" ca="1" si="60"/>
        <v>5</v>
      </c>
      <c r="Q163" s="19">
        <f t="shared" ca="1" si="61"/>
        <v>0.3</v>
      </c>
      <c r="R163" s="1">
        <f t="shared" ca="1" si="62"/>
        <v>-2724.3599999999997</v>
      </c>
      <c r="S163" s="1">
        <f t="shared" ca="1" si="45"/>
        <v>1</v>
      </c>
      <c r="T163" s="19">
        <f t="shared" ca="1" si="46"/>
        <v>-0.11999999999999998</v>
      </c>
      <c r="U163" s="1" t="str">
        <f t="shared" ca="1" si="47"/>
        <v>High Discount</v>
      </c>
    </row>
    <row r="164" spans="1:21" ht="15.6" customHeight="1" x14ac:dyDescent="0.3">
      <c r="A164" s="1" t="str">
        <f t="shared" si="42"/>
        <v>ORD-163</v>
      </c>
      <c r="B164" s="10">
        <f t="shared" ca="1" si="43"/>
        <v>45382</v>
      </c>
      <c r="C164" s="7">
        <f t="shared" ca="1" si="44"/>
        <v>45384</v>
      </c>
      <c r="D164" s="1" t="str">
        <f t="shared" ca="1" si="48"/>
        <v>Standard Class</v>
      </c>
      <c r="E164" s="1" t="str">
        <f t="shared" ca="1" si="49"/>
        <v>CU-548</v>
      </c>
      <c r="F164" s="1" t="str">
        <f t="shared" ca="1" si="50"/>
        <v>Priya Singh</v>
      </c>
      <c r="G164" s="1" t="str">
        <f t="shared" ca="1" si="51"/>
        <v>Home Office</v>
      </c>
      <c r="H164" s="1" t="str">
        <f t="shared" si="52"/>
        <v>India</v>
      </c>
      <c r="I164" s="1" t="str">
        <f t="shared" ca="1" si="53"/>
        <v>South</v>
      </c>
      <c r="J164" s="1" t="str">
        <f t="shared" ca="1" si="54"/>
        <v>Karnataka</v>
      </c>
      <c r="K164" s="1" t="str">
        <f t="shared" ca="1" si="55"/>
        <v>Kolkata</v>
      </c>
      <c r="L164" s="1" t="str">
        <f t="shared" ca="1" si="56"/>
        <v>Technology</v>
      </c>
      <c r="M164" s="1" t="str">
        <f t="shared" ca="1" si="57"/>
        <v>Mobile</v>
      </c>
      <c r="N164" s="1" t="str">
        <f t="shared" ca="1" si="58"/>
        <v>HP Pavilion</v>
      </c>
      <c r="O164" s="1">
        <f t="shared" ca="1" si="59"/>
        <v>57826</v>
      </c>
      <c r="P164" s="1">
        <f t="shared" ca="1" si="60"/>
        <v>10</v>
      </c>
      <c r="Q164" s="19">
        <f t="shared" ca="1" si="61"/>
        <v>0.05</v>
      </c>
      <c r="R164" s="1">
        <f t="shared" ca="1" si="62"/>
        <v>7517.38</v>
      </c>
      <c r="S164" s="1">
        <f t="shared" ca="1" si="45"/>
        <v>2</v>
      </c>
      <c r="T164" s="19">
        <f t="shared" ca="1" si="46"/>
        <v>0.13</v>
      </c>
      <c r="U164" s="1" t="str">
        <f t="shared" ca="1" si="47"/>
        <v>Low Discount</v>
      </c>
    </row>
    <row r="165" spans="1:21" ht="15.6" customHeight="1" x14ac:dyDescent="0.3">
      <c r="A165" s="1" t="str">
        <f t="shared" si="42"/>
        <v>ORD-164</v>
      </c>
      <c r="B165" s="10">
        <f t="shared" ca="1" si="43"/>
        <v>45582</v>
      </c>
      <c r="C165" s="7">
        <f t="shared" ca="1" si="44"/>
        <v>45582</v>
      </c>
      <c r="D165" s="1" t="str">
        <f t="shared" ca="1" si="48"/>
        <v>Standard Class</v>
      </c>
      <c r="E165" s="1" t="str">
        <f t="shared" ca="1" si="49"/>
        <v>CU-103</v>
      </c>
      <c r="F165" s="1" t="str">
        <f t="shared" ca="1" si="50"/>
        <v>Ravi Mehta</v>
      </c>
      <c r="G165" s="1" t="str">
        <f t="shared" ca="1" si="51"/>
        <v>Consumer</v>
      </c>
      <c r="H165" s="1" t="str">
        <f t="shared" si="52"/>
        <v>India</v>
      </c>
      <c r="I165" s="1" t="str">
        <f t="shared" ca="1" si="53"/>
        <v>South</v>
      </c>
      <c r="J165" s="1" t="str">
        <f t="shared" ca="1" si="54"/>
        <v>Gujarat</v>
      </c>
      <c r="K165" s="1" t="str">
        <f t="shared" ca="1" si="55"/>
        <v>Chennai</v>
      </c>
      <c r="L165" s="1" t="str">
        <f t="shared" ca="1" si="56"/>
        <v>Technology</v>
      </c>
      <c r="M165" s="1" t="str">
        <f t="shared" ca="1" si="57"/>
        <v>Laptop</v>
      </c>
      <c r="N165" s="1" t="str">
        <f t="shared" ca="1" si="58"/>
        <v>A4 Paper</v>
      </c>
      <c r="O165" s="1">
        <f t="shared" ca="1" si="59"/>
        <v>33140</v>
      </c>
      <c r="P165" s="1">
        <f t="shared" ca="1" si="60"/>
        <v>1</v>
      </c>
      <c r="Q165" s="19">
        <f t="shared" ca="1" si="61"/>
        <v>0</v>
      </c>
      <c r="R165" s="1">
        <f t="shared" ca="1" si="62"/>
        <v>5965.2</v>
      </c>
      <c r="S165" s="1">
        <f t="shared" ca="1" si="45"/>
        <v>0</v>
      </c>
      <c r="T165" s="19">
        <f t="shared" ca="1" si="46"/>
        <v>0.18</v>
      </c>
      <c r="U165" s="1" t="str">
        <f t="shared" ca="1" si="47"/>
        <v>Low Discount</v>
      </c>
    </row>
    <row r="166" spans="1:21" ht="15.6" customHeight="1" x14ac:dyDescent="0.3">
      <c r="A166" s="1" t="str">
        <f t="shared" si="42"/>
        <v>ORD-165</v>
      </c>
      <c r="B166" s="10">
        <f t="shared" ca="1" si="43"/>
        <v>45482</v>
      </c>
      <c r="C166" s="7">
        <f t="shared" ca="1" si="44"/>
        <v>45484</v>
      </c>
      <c r="D166" s="1" t="str">
        <f t="shared" ca="1" si="48"/>
        <v>Second Class</v>
      </c>
      <c r="E166" s="1" t="str">
        <f t="shared" ca="1" si="49"/>
        <v>CU-786</v>
      </c>
      <c r="F166" s="1" t="str">
        <f t="shared" ca="1" si="50"/>
        <v>Amit Verma</v>
      </c>
      <c r="G166" s="1" t="str">
        <f t="shared" ca="1" si="51"/>
        <v>Corporate</v>
      </c>
      <c r="H166" s="1" t="str">
        <f t="shared" si="52"/>
        <v>India</v>
      </c>
      <c r="I166" s="1" t="str">
        <f t="shared" ca="1" si="53"/>
        <v>South</v>
      </c>
      <c r="J166" s="1" t="str">
        <f t="shared" ca="1" si="54"/>
        <v>Gujarat</v>
      </c>
      <c r="K166" s="1" t="str">
        <f t="shared" ca="1" si="55"/>
        <v>Bangalore</v>
      </c>
      <c r="L166" s="1" t="str">
        <f t="shared" ca="1" si="56"/>
        <v>Office Supplies</v>
      </c>
      <c r="M166" s="1" t="str">
        <f t="shared" ca="1" si="57"/>
        <v>Table</v>
      </c>
      <c r="N166" s="1" t="str">
        <f t="shared" ca="1" si="58"/>
        <v>Office Table</v>
      </c>
      <c r="O166" s="1">
        <f t="shared" ca="1" si="59"/>
        <v>55053</v>
      </c>
      <c r="P166" s="1">
        <f t="shared" ca="1" si="60"/>
        <v>4</v>
      </c>
      <c r="Q166" s="19">
        <f t="shared" ca="1" si="61"/>
        <v>0.05</v>
      </c>
      <c r="R166" s="1">
        <f t="shared" ca="1" si="62"/>
        <v>7156.89</v>
      </c>
      <c r="S166" s="1">
        <f t="shared" ca="1" si="45"/>
        <v>2</v>
      </c>
      <c r="T166" s="19">
        <f t="shared" ca="1" si="46"/>
        <v>0.13</v>
      </c>
      <c r="U166" s="1" t="str">
        <f t="shared" ca="1" si="47"/>
        <v>Low Discount</v>
      </c>
    </row>
    <row r="167" spans="1:21" ht="15.6" customHeight="1" x14ac:dyDescent="0.3">
      <c r="A167" s="1" t="str">
        <f t="shared" si="42"/>
        <v>ORD-166</v>
      </c>
      <c r="B167" s="10">
        <f t="shared" ca="1" si="43"/>
        <v>45298</v>
      </c>
      <c r="C167" s="7">
        <f t="shared" ca="1" si="44"/>
        <v>45298</v>
      </c>
      <c r="D167" s="1" t="str">
        <f t="shared" ca="1" si="48"/>
        <v>Standard Class</v>
      </c>
      <c r="E167" s="1" t="str">
        <f t="shared" ca="1" si="49"/>
        <v>CU-923</v>
      </c>
      <c r="F167" s="1" t="str">
        <f t="shared" ca="1" si="50"/>
        <v>Rahul Sharma</v>
      </c>
      <c r="G167" s="1" t="str">
        <f t="shared" ca="1" si="51"/>
        <v>Corporate</v>
      </c>
      <c r="H167" s="1" t="str">
        <f t="shared" si="52"/>
        <v>India</v>
      </c>
      <c r="I167" s="1" t="str">
        <f t="shared" ca="1" si="53"/>
        <v>South</v>
      </c>
      <c r="J167" s="1" t="str">
        <f t="shared" ca="1" si="54"/>
        <v>Maharashtra</v>
      </c>
      <c r="K167" s="1" t="str">
        <f t="shared" ca="1" si="55"/>
        <v>Mumbai</v>
      </c>
      <c r="L167" s="1" t="str">
        <f t="shared" ca="1" si="56"/>
        <v>Technology</v>
      </c>
      <c r="M167" s="1" t="str">
        <f t="shared" ca="1" si="57"/>
        <v>Mobile</v>
      </c>
      <c r="N167" s="1" t="str">
        <f t="shared" ca="1" si="58"/>
        <v>Office Table</v>
      </c>
      <c r="O167" s="1">
        <f t="shared" ca="1" si="59"/>
        <v>40617</v>
      </c>
      <c r="P167" s="1">
        <f t="shared" ca="1" si="60"/>
        <v>4</v>
      </c>
      <c r="Q167" s="19">
        <f t="shared" ca="1" si="61"/>
        <v>0</v>
      </c>
      <c r="R167" s="1">
        <f t="shared" ca="1" si="62"/>
        <v>7311.0599999999995</v>
      </c>
      <c r="S167" s="1">
        <f t="shared" ca="1" si="45"/>
        <v>0</v>
      </c>
      <c r="T167" s="19">
        <f t="shared" ca="1" si="46"/>
        <v>0.18</v>
      </c>
      <c r="U167" s="1" t="str">
        <f t="shared" ca="1" si="47"/>
        <v>Low Discount</v>
      </c>
    </row>
    <row r="168" spans="1:21" ht="15.6" customHeight="1" x14ac:dyDescent="0.3">
      <c r="A168" s="1" t="str">
        <f t="shared" si="42"/>
        <v>ORD-167</v>
      </c>
      <c r="B168" s="10">
        <f t="shared" ca="1" si="43"/>
        <v>45432</v>
      </c>
      <c r="C168" s="7">
        <f t="shared" ca="1" si="44"/>
        <v>45435</v>
      </c>
      <c r="D168" s="1" t="str">
        <f t="shared" ca="1" si="48"/>
        <v>Same Day</v>
      </c>
      <c r="E168" s="1" t="str">
        <f t="shared" ca="1" si="49"/>
        <v>CU-686</v>
      </c>
      <c r="F168" s="1" t="str">
        <f t="shared" ca="1" si="50"/>
        <v>Ravi Mehta</v>
      </c>
      <c r="G168" s="1" t="str">
        <f t="shared" ca="1" si="51"/>
        <v>Corporate</v>
      </c>
      <c r="H168" s="1" t="str">
        <f t="shared" si="52"/>
        <v>India</v>
      </c>
      <c r="I168" s="1" t="str">
        <f t="shared" ca="1" si="53"/>
        <v>South</v>
      </c>
      <c r="J168" s="1" t="str">
        <f t="shared" ca="1" si="54"/>
        <v>Karnataka</v>
      </c>
      <c r="K168" s="1" t="str">
        <f t="shared" ca="1" si="55"/>
        <v>Bangalore</v>
      </c>
      <c r="L168" s="1" t="str">
        <f t="shared" ca="1" si="56"/>
        <v>Technology</v>
      </c>
      <c r="M168" s="1" t="str">
        <f t="shared" ca="1" si="57"/>
        <v>Mobile</v>
      </c>
      <c r="N168" s="1" t="str">
        <f t="shared" ca="1" si="58"/>
        <v>Samsung Galaxy</v>
      </c>
      <c r="O168" s="1">
        <f t="shared" ca="1" si="59"/>
        <v>35877</v>
      </c>
      <c r="P168" s="1">
        <f t="shared" ca="1" si="60"/>
        <v>2</v>
      </c>
      <c r="Q168" s="19">
        <f t="shared" ca="1" si="61"/>
        <v>0</v>
      </c>
      <c r="R168" s="1">
        <f t="shared" ca="1" si="62"/>
        <v>6457.86</v>
      </c>
      <c r="S168" s="1">
        <f t="shared" ca="1" si="45"/>
        <v>3</v>
      </c>
      <c r="T168" s="19">
        <f t="shared" ca="1" si="46"/>
        <v>0.18</v>
      </c>
      <c r="U168" s="1" t="str">
        <f t="shared" ca="1" si="47"/>
        <v>Low Discount</v>
      </c>
    </row>
    <row r="169" spans="1:21" ht="15.6" customHeight="1" x14ac:dyDescent="0.3">
      <c r="A169" s="1" t="str">
        <f t="shared" si="42"/>
        <v>ORD-168</v>
      </c>
      <c r="B169" s="10">
        <f t="shared" ca="1" si="43"/>
        <v>45625</v>
      </c>
      <c r="C169" s="7">
        <f t="shared" ca="1" si="44"/>
        <v>45630</v>
      </c>
      <c r="D169" s="1" t="str">
        <f t="shared" ca="1" si="48"/>
        <v>Same Day</v>
      </c>
      <c r="E169" s="1" t="str">
        <f t="shared" ca="1" si="49"/>
        <v>CU-641</v>
      </c>
      <c r="F169" s="1" t="str">
        <f t="shared" ca="1" si="50"/>
        <v>Rahul Sharma</v>
      </c>
      <c r="G169" s="1" t="str">
        <f t="shared" ca="1" si="51"/>
        <v>Corporate</v>
      </c>
      <c r="H169" s="1" t="str">
        <f t="shared" si="52"/>
        <v>India</v>
      </c>
      <c r="I169" s="1" t="str">
        <f t="shared" ca="1" si="53"/>
        <v>South</v>
      </c>
      <c r="J169" s="1" t="str">
        <f t="shared" ca="1" si="54"/>
        <v>Karnataka</v>
      </c>
      <c r="K169" s="1" t="str">
        <f t="shared" ca="1" si="55"/>
        <v>Kolkata</v>
      </c>
      <c r="L169" s="1" t="str">
        <f t="shared" ca="1" si="56"/>
        <v>Furniture</v>
      </c>
      <c r="M169" s="1" t="str">
        <f t="shared" ca="1" si="57"/>
        <v>Paper</v>
      </c>
      <c r="N169" s="1" t="str">
        <f t="shared" ca="1" si="58"/>
        <v>HP Pavilion</v>
      </c>
      <c r="O169" s="1">
        <f t="shared" ca="1" si="59"/>
        <v>4561</v>
      </c>
      <c r="P169" s="1">
        <f t="shared" ca="1" si="60"/>
        <v>2</v>
      </c>
      <c r="Q169" s="19">
        <f t="shared" ca="1" si="61"/>
        <v>0</v>
      </c>
      <c r="R169" s="1">
        <f t="shared" ca="1" si="62"/>
        <v>820.98</v>
      </c>
      <c r="S169" s="1">
        <f t="shared" ca="1" si="45"/>
        <v>5</v>
      </c>
      <c r="T169" s="19">
        <f t="shared" ca="1" si="46"/>
        <v>0.18</v>
      </c>
      <c r="U169" s="1" t="str">
        <f t="shared" ca="1" si="47"/>
        <v>Low Discount</v>
      </c>
    </row>
    <row r="170" spans="1:21" ht="15.6" customHeight="1" x14ac:dyDescent="0.3">
      <c r="A170" s="1" t="str">
        <f t="shared" si="42"/>
        <v>ORD-169</v>
      </c>
      <c r="B170" s="10">
        <f t="shared" ca="1" si="43"/>
        <v>45448</v>
      </c>
      <c r="C170" s="7">
        <f t="shared" ca="1" si="44"/>
        <v>45453</v>
      </c>
      <c r="D170" s="1" t="str">
        <f t="shared" ca="1" si="48"/>
        <v>Standard Class</v>
      </c>
      <c r="E170" s="1" t="str">
        <f t="shared" ca="1" si="49"/>
        <v>CU-244</v>
      </c>
      <c r="F170" s="1" t="str">
        <f t="shared" ca="1" si="50"/>
        <v>Arjun Malhotra</v>
      </c>
      <c r="G170" s="1" t="str">
        <f t="shared" ca="1" si="51"/>
        <v>Consumer</v>
      </c>
      <c r="H170" s="1" t="str">
        <f t="shared" si="52"/>
        <v>India</v>
      </c>
      <c r="I170" s="1" t="str">
        <f t="shared" ca="1" si="53"/>
        <v>South</v>
      </c>
      <c r="J170" s="1" t="str">
        <f t="shared" ca="1" si="54"/>
        <v>Tamil Nadu</v>
      </c>
      <c r="K170" s="1" t="str">
        <f t="shared" ca="1" si="55"/>
        <v>Mumbai</v>
      </c>
      <c r="L170" s="1" t="str">
        <f t="shared" ca="1" si="56"/>
        <v>Furniture</v>
      </c>
      <c r="M170" s="1" t="str">
        <f t="shared" ca="1" si="57"/>
        <v>Table</v>
      </c>
      <c r="N170" s="1" t="str">
        <f t="shared" ca="1" si="58"/>
        <v>HP Pavilion</v>
      </c>
      <c r="O170" s="1">
        <f t="shared" ca="1" si="59"/>
        <v>1173</v>
      </c>
      <c r="P170" s="1">
        <f t="shared" ca="1" si="60"/>
        <v>2</v>
      </c>
      <c r="Q170" s="19">
        <f t="shared" ca="1" si="61"/>
        <v>0.2</v>
      </c>
      <c r="R170" s="1">
        <f t="shared" ca="1" si="62"/>
        <v>-23.460000000000022</v>
      </c>
      <c r="S170" s="1">
        <f t="shared" ca="1" si="45"/>
        <v>5</v>
      </c>
      <c r="T170" s="19">
        <f t="shared" ca="1" si="46"/>
        <v>-2.0000000000000018E-2</v>
      </c>
      <c r="U170" s="1" t="str">
        <f t="shared" ca="1" si="47"/>
        <v>High Discount</v>
      </c>
    </row>
    <row r="171" spans="1:21" ht="15.6" customHeight="1" x14ac:dyDescent="0.3">
      <c r="A171" s="1" t="str">
        <f t="shared" si="42"/>
        <v>ORD-170</v>
      </c>
      <c r="B171" s="10">
        <f t="shared" ca="1" si="43"/>
        <v>45313</v>
      </c>
      <c r="C171" s="7">
        <f t="shared" ca="1" si="44"/>
        <v>45318</v>
      </c>
      <c r="D171" s="1" t="str">
        <f t="shared" ca="1" si="48"/>
        <v>Second Class</v>
      </c>
      <c r="E171" s="1" t="str">
        <f t="shared" ca="1" si="49"/>
        <v>CU-453</v>
      </c>
      <c r="F171" s="1" t="str">
        <f t="shared" ca="1" si="50"/>
        <v>Sunil Kumar</v>
      </c>
      <c r="G171" s="1" t="str">
        <f t="shared" ca="1" si="51"/>
        <v>Home Office</v>
      </c>
      <c r="H171" s="1" t="str">
        <f t="shared" si="52"/>
        <v>India</v>
      </c>
      <c r="I171" s="1" t="str">
        <f t="shared" ca="1" si="53"/>
        <v>West</v>
      </c>
      <c r="J171" s="1" t="str">
        <f t="shared" ca="1" si="54"/>
        <v>Gujarat</v>
      </c>
      <c r="K171" s="1" t="str">
        <f t="shared" ca="1" si="55"/>
        <v>Kolkata</v>
      </c>
      <c r="L171" s="1" t="str">
        <f t="shared" ca="1" si="56"/>
        <v>Furniture</v>
      </c>
      <c r="M171" s="1" t="str">
        <f t="shared" ca="1" si="57"/>
        <v>Paper</v>
      </c>
      <c r="N171" s="1" t="str">
        <f t="shared" ca="1" si="58"/>
        <v>Samsung Galaxy</v>
      </c>
      <c r="O171" s="1">
        <f t="shared" ca="1" si="59"/>
        <v>40689</v>
      </c>
      <c r="P171" s="1">
        <f t="shared" ca="1" si="60"/>
        <v>1</v>
      </c>
      <c r="Q171" s="19">
        <f t="shared" ca="1" si="61"/>
        <v>0.3</v>
      </c>
      <c r="R171" s="1">
        <f t="shared" ca="1" si="62"/>
        <v>-4882.6799999999994</v>
      </c>
      <c r="S171" s="1">
        <f t="shared" ca="1" si="45"/>
        <v>5</v>
      </c>
      <c r="T171" s="19">
        <f t="shared" ca="1" si="46"/>
        <v>-0.11999999999999998</v>
      </c>
      <c r="U171" s="1" t="str">
        <f t="shared" ca="1" si="47"/>
        <v>High Discount</v>
      </c>
    </row>
    <row r="172" spans="1:21" ht="15.6" customHeight="1" x14ac:dyDescent="0.3">
      <c r="A172" s="1" t="str">
        <f t="shared" si="42"/>
        <v>ORD-171</v>
      </c>
      <c r="B172" s="10">
        <f t="shared" ca="1" si="43"/>
        <v>45348</v>
      </c>
      <c r="C172" s="7">
        <f t="shared" ca="1" si="44"/>
        <v>45350</v>
      </c>
      <c r="D172" s="1" t="str">
        <f t="shared" ca="1" si="48"/>
        <v>Same Day</v>
      </c>
      <c r="E172" s="1" t="str">
        <f t="shared" ca="1" si="49"/>
        <v>CU-664</v>
      </c>
      <c r="F172" s="1" t="str">
        <f t="shared" ca="1" si="50"/>
        <v>Amit Verma</v>
      </c>
      <c r="G172" s="1" t="str">
        <f t="shared" ca="1" si="51"/>
        <v>Corporate</v>
      </c>
      <c r="H172" s="1" t="str">
        <f t="shared" si="52"/>
        <v>India</v>
      </c>
      <c r="I172" s="1" t="str">
        <f t="shared" ca="1" si="53"/>
        <v>North</v>
      </c>
      <c r="J172" s="1" t="str">
        <f t="shared" ca="1" si="54"/>
        <v>West Bengal</v>
      </c>
      <c r="K172" s="1" t="str">
        <f t="shared" ca="1" si="55"/>
        <v>Delhi</v>
      </c>
      <c r="L172" s="1" t="str">
        <f t="shared" ca="1" si="56"/>
        <v>Technology</v>
      </c>
      <c r="M172" s="1" t="str">
        <f t="shared" ca="1" si="57"/>
        <v>Chair</v>
      </c>
      <c r="N172" s="1" t="str">
        <f t="shared" ca="1" si="58"/>
        <v>Office Chair</v>
      </c>
      <c r="O172" s="1">
        <f t="shared" ca="1" si="59"/>
        <v>30248</v>
      </c>
      <c r="P172" s="1">
        <f t="shared" ca="1" si="60"/>
        <v>4</v>
      </c>
      <c r="Q172" s="19">
        <f t="shared" ca="1" si="61"/>
        <v>0.3</v>
      </c>
      <c r="R172" s="1">
        <f t="shared" ca="1" si="62"/>
        <v>-3629.7599999999998</v>
      </c>
      <c r="S172" s="1">
        <f t="shared" ca="1" si="45"/>
        <v>2</v>
      </c>
      <c r="T172" s="19">
        <f t="shared" ca="1" si="46"/>
        <v>-0.12</v>
      </c>
      <c r="U172" s="1" t="str">
        <f t="shared" ca="1" si="47"/>
        <v>High Discount</v>
      </c>
    </row>
    <row r="173" spans="1:21" ht="15.6" customHeight="1" x14ac:dyDescent="0.3">
      <c r="A173" s="1" t="str">
        <f t="shared" si="42"/>
        <v>ORD-172</v>
      </c>
      <c r="B173" s="10">
        <f t="shared" ca="1" si="43"/>
        <v>45352</v>
      </c>
      <c r="C173" s="7">
        <f t="shared" ca="1" si="44"/>
        <v>45357</v>
      </c>
      <c r="D173" s="1" t="str">
        <f t="shared" ca="1" si="48"/>
        <v>Same Day</v>
      </c>
      <c r="E173" s="1" t="str">
        <f t="shared" ca="1" si="49"/>
        <v>CU-784</v>
      </c>
      <c r="F173" s="1" t="str">
        <f t="shared" ca="1" si="50"/>
        <v>Rahul Sharma</v>
      </c>
      <c r="G173" s="1" t="str">
        <f t="shared" ca="1" si="51"/>
        <v>Corporate</v>
      </c>
      <c r="H173" s="1" t="str">
        <f t="shared" si="52"/>
        <v>India</v>
      </c>
      <c r="I173" s="1" t="str">
        <f t="shared" ca="1" si="53"/>
        <v>South</v>
      </c>
      <c r="J173" s="1" t="str">
        <f t="shared" ca="1" si="54"/>
        <v>Gujarat</v>
      </c>
      <c r="K173" s="1" t="str">
        <f t="shared" ca="1" si="55"/>
        <v>Delhi</v>
      </c>
      <c r="L173" s="1" t="str">
        <f t="shared" ca="1" si="56"/>
        <v>Technology</v>
      </c>
      <c r="M173" s="1" t="str">
        <f t="shared" ca="1" si="57"/>
        <v>Laptop</v>
      </c>
      <c r="N173" s="1" t="str">
        <f t="shared" ca="1" si="58"/>
        <v>Samsung Galaxy</v>
      </c>
      <c r="O173" s="1">
        <f t="shared" ca="1" si="59"/>
        <v>8077</v>
      </c>
      <c r="P173" s="1">
        <f t="shared" ca="1" si="60"/>
        <v>6</v>
      </c>
      <c r="Q173" s="19">
        <f t="shared" ca="1" si="61"/>
        <v>0.3</v>
      </c>
      <c r="R173" s="1">
        <f t="shared" ca="1" si="62"/>
        <v>-969.24</v>
      </c>
      <c r="S173" s="1">
        <f t="shared" ca="1" si="45"/>
        <v>5</v>
      </c>
      <c r="T173" s="19">
        <f t="shared" ca="1" si="46"/>
        <v>-0.12</v>
      </c>
      <c r="U173" s="1" t="str">
        <f t="shared" ca="1" si="47"/>
        <v>High Discount</v>
      </c>
    </row>
    <row r="174" spans="1:21" ht="15.6" customHeight="1" x14ac:dyDescent="0.3">
      <c r="A174" s="1" t="str">
        <f t="shared" si="42"/>
        <v>ORD-173</v>
      </c>
      <c r="B174" s="10">
        <f t="shared" ca="1" si="43"/>
        <v>45578</v>
      </c>
      <c r="C174" s="7">
        <f t="shared" ca="1" si="44"/>
        <v>45578</v>
      </c>
      <c r="D174" s="1" t="str">
        <f t="shared" ca="1" si="48"/>
        <v>Standard Class</v>
      </c>
      <c r="E174" s="1" t="str">
        <f t="shared" ca="1" si="49"/>
        <v>CU-813</v>
      </c>
      <c r="F174" s="1" t="str">
        <f t="shared" ca="1" si="50"/>
        <v>Neha Gupta</v>
      </c>
      <c r="G174" s="1" t="str">
        <f t="shared" ca="1" si="51"/>
        <v>Corporate</v>
      </c>
      <c r="H174" s="1" t="str">
        <f t="shared" si="52"/>
        <v>India</v>
      </c>
      <c r="I174" s="1" t="str">
        <f t="shared" ca="1" si="53"/>
        <v>East</v>
      </c>
      <c r="J174" s="1" t="str">
        <f t="shared" ca="1" si="54"/>
        <v>Tamil Nadu</v>
      </c>
      <c r="K174" s="1" t="str">
        <f t="shared" ca="1" si="55"/>
        <v>Bangalore</v>
      </c>
      <c r="L174" s="1" t="str">
        <f t="shared" ca="1" si="56"/>
        <v>Office Supplies</v>
      </c>
      <c r="M174" s="1" t="str">
        <f t="shared" ca="1" si="57"/>
        <v>Chair</v>
      </c>
      <c r="N174" s="1" t="str">
        <f t="shared" ca="1" si="58"/>
        <v>HP Pavilion</v>
      </c>
      <c r="O174" s="1">
        <f t="shared" ca="1" si="59"/>
        <v>52041</v>
      </c>
      <c r="P174" s="1">
        <f t="shared" ca="1" si="60"/>
        <v>2</v>
      </c>
      <c r="Q174" s="19">
        <f t="shared" ca="1" si="61"/>
        <v>0.2</v>
      </c>
      <c r="R174" s="1">
        <f t="shared" ca="1" si="62"/>
        <v>-1040.8200000000008</v>
      </c>
      <c r="S174" s="1">
        <f t="shared" ca="1" si="45"/>
        <v>0</v>
      </c>
      <c r="T174" s="19">
        <f t="shared" ca="1" si="46"/>
        <v>-2.0000000000000018E-2</v>
      </c>
      <c r="U174" s="1" t="str">
        <f t="shared" ca="1" si="47"/>
        <v>High Discount</v>
      </c>
    </row>
    <row r="175" spans="1:21" ht="15.6" customHeight="1" x14ac:dyDescent="0.3">
      <c r="A175" s="1" t="str">
        <f t="shared" si="42"/>
        <v>ORD-174</v>
      </c>
      <c r="B175" s="10">
        <f t="shared" ca="1" si="43"/>
        <v>45572</v>
      </c>
      <c r="C175" s="7">
        <f t="shared" ca="1" si="44"/>
        <v>45574</v>
      </c>
      <c r="D175" s="1" t="str">
        <f t="shared" ca="1" si="48"/>
        <v>Same Day</v>
      </c>
      <c r="E175" s="1" t="str">
        <f t="shared" ca="1" si="49"/>
        <v>CU-163</v>
      </c>
      <c r="F175" s="1" t="str">
        <f t="shared" ca="1" si="50"/>
        <v>Priya Singh</v>
      </c>
      <c r="G175" s="1" t="str">
        <f t="shared" ca="1" si="51"/>
        <v>Consumer</v>
      </c>
      <c r="H175" s="1" t="str">
        <f t="shared" si="52"/>
        <v>India</v>
      </c>
      <c r="I175" s="1" t="str">
        <f t="shared" ca="1" si="53"/>
        <v>North</v>
      </c>
      <c r="J175" s="1" t="str">
        <f t="shared" ca="1" si="54"/>
        <v>Gujarat</v>
      </c>
      <c r="K175" s="1" t="str">
        <f t="shared" ca="1" si="55"/>
        <v>Kolkata</v>
      </c>
      <c r="L175" s="1" t="str">
        <f t="shared" ca="1" si="56"/>
        <v>Office Supplies</v>
      </c>
      <c r="M175" s="1" t="str">
        <f t="shared" ca="1" si="57"/>
        <v>Table</v>
      </c>
      <c r="N175" s="1" t="str">
        <f t="shared" ca="1" si="58"/>
        <v>Office Table</v>
      </c>
      <c r="O175" s="1">
        <f t="shared" ca="1" si="59"/>
        <v>9985</v>
      </c>
      <c r="P175" s="1">
        <f t="shared" ca="1" si="60"/>
        <v>6</v>
      </c>
      <c r="Q175" s="19">
        <f t="shared" ca="1" si="61"/>
        <v>0</v>
      </c>
      <c r="R175" s="1">
        <f t="shared" ca="1" si="62"/>
        <v>1797.3</v>
      </c>
      <c r="S175" s="1">
        <f t="shared" ca="1" si="45"/>
        <v>2</v>
      </c>
      <c r="T175" s="19">
        <f t="shared" ca="1" si="46"/>
        <v>0.18</v>
      </c>
      <c r="U175" s="1" t="str">
        <f t="shared" ca="1" si="47"/>
        <v>Low Discount</v>
      </c>
    </row>
    <row r="176" spans="1:21" ht="15.6" customHeight="1" x14ac:dyDescent="0.3">
      <c r="A176" s="1" t="str">
        <f t="shared" si="42"/>
        <v>ORD-175</v>
      </c>
      <c r="B176" s="10">
        <f t="shared" ca="1" si="43"/>
        <v>45445</v>
      </c>
      <c r="C176" s="7">
        <f t="shared" ca="1" si="44"/>
        <v>45450</v>
      </c>
      <c r="D176" s="1" t="str">
        <f t="shared" ca="1" si="48"/>
        <v>Second Class</v>
      </c>
      <c r="E176" s="1" t="str">
        <f t="shared" ca="1" si="49"/>
        <v>CU-364</v>
      </c>
      <c r="F176" s="1" t="str">
        <f t="shared" ca="1" si="50"/>
        <v>Ravi Mehta</v>
      </c>
      <c r="G176" s="1" t="str">
        <f t="shared" ca="1" si="51"/>
        <v>Home Office</v>
      </c>
      <c r="H176" s="1" t="str">
        <f t="shared" si="52"/>
        <v>India</v>
      </c>
      <c r="I176" s="1" t="str">
        <f t="shared" ca="1" si="53"/>
        <v>East</v>
      </c>
      <c r="J176" s="1" t="str">
        <f t="shared" ca="1" si="54"/>
        <v>Tamil Nadu</v>
      </c>
      <c r="K176" s="1" t="str">
        <f t="shared" ca="1" si="55"/>
        <v>Bangalore</v>
      </c>
      <c r="L176" s="1" t="str">
        <f t="shared" ca="1" si="56"/>
        <v>Office Supplies</v>
      </c>
      <c r="M176" s="1" t="str">
        <f t="shared" ca="1" si="57"/>
        <v>Laptop</v>
      </c>
      <c r="N176" s="1" t="str">
        <f t="shared" ca="1" si="58"/>
        <v>Wireless Mouse</v>
      </c>
      <c r="O176" s="1">
        <f t="shared" ca="1" si="59"/>
        <v>1570</v>
      </c>
      <c r="P176" s="1">
        <f t="shared" ca="1" si="60"/>
        <v>6</v>
      </c>
      <c r="Q176" s="19">
        <f t="shared" ca="1" si="61"/>
        <v>0.1</v>
      </c>
      <c r="R176" s="1">
        <f t="shared" ca="1" si="62"/>
        <v>125.59999999999998</v>
      </c>
      <c r="S176" s="1">
        <f t="shared" ca="1" si="45"/>
        <v>5</v>
      </c>
      <c r="T176" s="19">
        <f t="shared" ca="1" si="46"/>
        <v>7.9999999999999988E-2</v>
      </c>
      <c r="U176" s="1" t="str">
        <f t="shared" ca="1" si="47"/>
        <v>Low Discount</v>
      </c>
    </row>
    <row r="177" spans="1:21" ht="15.6" customHeight="1" x14ac:dyDescent="0.3">
      <c r="A177" s="1" t="str">
        <f t="shared" si="42"/>
        <v>ORD-176</v>
      </c>
      <c r="B177" s="10">
        <f t="shared" ca="1" si="43"/>
        <v>45625</v>
      </c>
      <c r="C177" s="7">
        <f t="shared" ca="1" si="44"/>
        <v>45627</v>
      </c>
      <c r="D177" s="1" t="str">
        <f t="shared" ca="1" si="48"/>
        <v>Same Day</v>
      </c>
      <c r="E177" s="1" t="str">
        <f t="shared" ca="1" si="49"/>
        <v>CU-757</v>
      </c>
      <c r="F177" s="1" t="str">
        <f t="shared" ca="1" si="50"/>
        <v>Rahul Sharma</v>
      </c>
      <c r="G177" s="1" t="str">
        <f t="shared" ca="1" si="51"/>
        <v>Corporate</v>
      </c>
      <c r="H177" s="1" t="str">
        <f t="shared" si="52"/>
        <v>India</v>
      </c>
      <c r="I177" s="1" t="str">
        <f t="shared" ca="1" si="53"/>
        <v>East</v>
      </c>
      <c r="J177" s="1" t="str">
        <f t="shared" ca="1" si="54"/>
        <v>Maharashtra</v>
      </c>
      <c r="K177" s="1" t="str">
        <f t="shared" ca="1" si="55"/>
        <v>Chennai</v>
      </c>
      <c r="L177" s="1" t="str">
        <f t="shared" ca="1" si="56"/>
        <v>Technology</v>
      </c>
      <c r="M177" s="1" t="str">
        <f t="shared" ca="1" si="57"/>
        <v>Mobile</v>
      </c>
      <c r="N177" s="1" t="str">
        <f t="shared" ca="1" si="58"/>
        <v>Samsung Galaxy</v>
      </c>
      <c r="O177" s="1">
        <f t="shared" ca="1" si="59"/>
        <v>37386</v>
      </c>
      <c r="P177" s="1">
        <f t="shared" ca="1" si="60"/>
        <v>1</v>
      </c>
      <c r="Q177" s="19">
        <f t="shared" ca="1" si="61"/>
        <v>0.2</v>
      </c>
      <c r="R177" s="1">
        <f t="shared" ca="1" si="62"/>
        <v>-747.72000000000071</v>
      </c>
      <c r="S177" s="1">
        <f t="shared" ca="1" si="45"/>
        <v>2</v>
      </c>
      <c r="T177" s="19">
        <f t="shared" ca="1" si="46"/>
        <v>-2.0000000000000018E-2</v>
      </c>
      <c r="U177" s="1" t="str">
        <f t="shared" ca="1" si="47"/>
        <v>High Discount</v>
      </c>
    </row>
    <row r="178" spans="1:21" ht="15.6" customHeight="1" x14ac:dyDescent="0.3">
      <c r="A178" s="1" t="str">
        <f t="shared" si="42"/>
        <v>ORD-177</v>
      </c>
      <c r="B178" s="10">
        <f t="shared" ca="1" si="43"/>
        <v>45312</v>
      </c>
      <c r="C178" s="7">
        <f t="shared" ca="1" si="44"/>
        <v>45313</v>
      </c>
      <c r="D178" s="1" t="str">
        <f t="shared" ca="1" si="48"/>
        <v>Second Class</v>
      </c>
      <c r="E178" s="1" t="str">
        <f t="shared" ca="1" si="49"/>
        <v>CU-247</v>
      </c>
      <c r="F178" s="1" t="str">
        <f t="shared" ca="1" si="50"/>
        <v>Pooja Yadav</v>
      </c>
      <c r="G178" s="1" t="str">
        <f t="shared" ca="1" si="51"/>
        <v>Corporate</v>
      </c>
      <c r="H178" s="1" t="str">
        <f t="shared" si="52"/>
        <v>India</v>
      </c>
      <c r="I178" s="1" t="str">
        <f t="shared" ca="1" si="53"/>
        <v>East</v>
      </c>
      <c r="J178" s="1" t="str">
        <f t="shared" ca="1" si="54"/>
        <v>Gujarat</v>
      </c>
      <c r="K178" s="1" t="str">
        <f t="shared" ca="1" si="55"/>
        <v>Mumbai</v>
      </c>
      <c r="L178" s="1" t="str">
        <f t="shared" ca="1" si="56"/>
        <v>Furniture</v>
      </c>
      <c r="M178" s="1" t="str">
        <f t="shared" ca="1" si="57"/>
        <v>Paper</v>
      </c>
      <c r="N178" s="1" t="str">
        <f t="shared" ca="1" si="58"/>
        <v>Wireless Mouse</v>
      </c>
      <c r="O178" s="1">
        <f t="shared" ca="1" si="59"/>
        <v>49435</v>
      </c>
      <c r="P178" s="1">
        <f t="shared" ca="1" si="60"/>
        <v>1</v>
      </c>
      <c r="Q178" s="19">
        <f t="shared" ca="1" si="61"/>
        <v>0.1</v>
      </c>
      <c r="R178" s="1">
        <f t="shared" ca="1" si="62"/>
        <v>3954.7999999999993</v>
      </c>
      <c r="S178" s="1">
        <f t="shared" ca="1" si="45"/>
        <v>1</v>
      </c>
      <c r="T178" s="19">
        <f t="shared" ca="1" si="46"/>
        <v>7.9999999999999988E-2</v>
      </c>
      <c r="U178" s="1" t="str">
        <f t="shared" ca="1" si="47"/>
        <v>Low Discount</v>
      </c>
    </row>
    <row r="179" spans="1:21" ht="15.6" customHeight="1" x14ac:dyDescent="0.3">
      <c r="A179" s="1" t="str">
        <f t="shared" si="42"/>
        <v>ORD-178</v>
      </c>
      <c r="B179" s="10">
        <f t="shared" ca="1" si="43"/>
        <v>45354</v>
      </c>
      <c r="C179" s="7">
        <f t="shared" ca="1" si="44"/>
        <v>45358</v>
      </c>
      <c r="D179" s="1" t="str">
        <f t="shared" ca="1" si="48"/>
        <v>Standard Class</v>
      </c>
      <c r="E179" s="1" t="str">
        <f t="shared" ca="1" si="49"/>
        <v>CU-701</v>
      </c>
      <c r="F179" s="1" t="str">
        <f t="shared" ca="1" si="50"/>
        <v>Sunil Kumar</v>
      </c>
      <c r="G179" s="1" t="str">
        <f t="shared" ca="1" si="51"/>
        <v>Corporate</v>
      </c>
      <c r="H179" s="1" t="str">
        <f t="shared" si="52"/>
        <v>India</v>
      </c>
      <c r="I179" s="1" t="str">
        <f t="shared" ca="1" si="53"/>
        <v>South</v>
      </c>
      <c r="J179" s="1" t="str">
        <f t="shared" ca="1" si="54"/>
        <v>Maharashtra</v>
      </c>
      <c r="K179" s="1" t="str">
        <f t="shared" ca="1" si="55"/>
        <v>Ahmedabad</v>
      </c>
      <c r="L179" s="1" t="str">
        <f t="shared" ca="1" si="56"/>
        <v>Office Supplies</v>
      </c>
      <c r="M179" s="1" t="str">
        <f t="shared" ca="1" si="57"/>
        <v>Mobile</v>
      </c>
      <c r="N179" s="1" t="str">
        <f t="shared" ca="1" si="58"/>
        <v>A4 Paper</v>
      </c>
      <c r="O179" s="1">
        <f t="shared" ca="1" si="59"/>
        <v>53825</v>
      </c>
      <c r="P179" s="1">
        <f t="shared" ca="1" si="60"/>
        <v>8</v>
      </c>
      <c r="Q179" s="19">
        <f t="shared" ca="1" si="61"/>
        <v>0</v>
      </c>
      <c r="R179" s="1">
        <f t="shared" ca="1" si="62"/>
        <v>9688.5</v>
      </c>
      <c r="S179" s="1">
        <f t="shared" ca="1" si="45"/>
        <v>4</v>
      </c>
      <c r="T179" s="19">
        <f t="shared" ca="1" si="46"/>
        <v>0.18</v>
      </c>
      <c r="U179" s="1" t="str">
        <f t="shared" ca="1" si="47"/>
        <v>Low Discount</v>
      </c>
    </row>
    <row r="180" spans="1:21" ht="15.6" customHeight="1" x14ac:dyDescent="0.3">
      <c r="A180" s="1" t="str">
        <f t="shared" si="42"/>
        <v>ORD-179</v>
      </c>
      <c r="B180" s="10">
        <f t="shared" ca="1" si="43"/>
        <v>45625</v>
      </c>
      <c r="C180" s="7">
        <f t="shared" ca="1" si="44"/>
        <v>45625</v>
      </c>
      <c r="D180" s="1" t="str">
        <f t="shared" ca="1" si="48"/>
        <v>Second Class</v>
      </c>
      <c r="E180" s="1" t="str">
        <f t="shared" ca="1" si="49"/>
        <v>CU-301</v>
      </c>
      <c r="F180" s="1" t="str">
        <f t="shared" ca="1" si="50"/>
        <v>Arjun Malhotra</v>
      </c>
      <c r="G180" s="1" t="str">
        <f t="shared" ca="1" si="51"/>
        <v>Corporate</v>
      </c>
      <c r="H180" s="1" t="str">
        <f t="shared" si="52"/>
        <v>India</v>
      </c>
      <c r="I180" s="1" t="str">
        <f t="shared" ca="1" si="53"/>
        <v>North</v>
      </c>
      <c r="J180" s="1" t="str">
        <f t="shared" ca="1" si="54"/>
        <v>Tamil Nadu</v>
      </c>
      <c r="K180" s="1" t="str">
        <f t="shared" ca="1" si="55"/>
        <v>Chennai</v>
      </c>
      <c r="L180" s="1" t="str">
        <f t="shared" ca="1" si="56"/>
        <v>Technology</v>
      </c>
      <c r="M180" s="1" t="str">
        <f t="shared" ca="1" si="57"/>
        <v>Mobile</v>
      </c>
      <c r="N180" s="1" t="str">
        <f t="shared" ca="1" si="58"/>
        <v>Samsung Galaxy</v>
      </c>
      <c r="O180" s="1">
        <f t="shared" ca="1" si="59"/>
        <v>7412</v>
      </c>
      <c r="P180" s="1">
        <f t="shared" ca="1" si="60"/>
        <v>5</v>
      </c>
      <c r="Q180" s="19">
        <f t="shared" ca="1" si="61"/>
        <v>0.3</v>
      </c>
      <c r="R180" s="1">
        <f t="shared" ca="1" si="62"/>
        <v>-889.43999999999994</v>
      </c>
      <c r="S180" s="1">
        <f t="shared" ca="1" si="45"/>
        <v>0</v>
      </c>
      <c r="T180" s="19">
        <f t="shared" ca="1" si="46"/>
        <v>-0.12</v>
      </c>
      <c r="U180" s="1" t="str">
        <f t="shared" ca="1" si="47"/>
        <v>High Discount</v>
      </c>
    </row>
    <row r="181" spans="1:21" ht="15.6" customHeight="1" x14ac:dyDescent="0.3">
      <c r="A181" s="1" t="str">
        <f t="shared" si="42"/>
        <v>ORD-180</v>
      </c>
      <c r="B181" s="10">
        <f t="shared" ca="1" si="43"/>
        <v>45395</v>
      </c>
      <c r="C181" s="7">
        <f t="shared" ca="1" si="44"/>
        <v>45400</v>
      </c>
      <c r="D181" s="1" t="str">
        <f t="shared" ca="1" si="48"/>
        <v>Second Class</v>
      </c>
      <c r="E181" s="1" t="str">
        <f t="shared" ca="1" si="49"/>
        <v>CU-573</v>
      </c>
      <c r="F181" s="1" t="str">
        <f t="shared" ca="1" si="50"/>
        <v>Priya Singh</v>
      </c>
      <c r="G181" s="1" t="str">
        <f t="shared" ca="1" si="51"/>
        <v>Corporate</v>
      </c>
      <c r="H181" s="1" t="str">
        <f t="shared" si="52"/>
        <v>India</v>
      </c>
      <c r="I181" s="1" t="str">
        <f t="shared" ca="1" si="53"/>
        <v>North</v>
      </c>
      <c r="J181" s="1" t="str">
        <f t="shared" ca="1" si="54"/>
        <v>Karnataka</v>
      </c>
      <c r="K181" s="1" t="str">
        <f t="shared" ca="1" si="55"/>
        <v>Kolkata</v>
      </c>
      <c r="L181" s="1" t="str">
        <f t="shared" ca="1" si="56"/>
        <v>Office Supplies</v>
      </c>
      <c r="M181" s="1" t="str">
        <f t="shared" ca="1" si="57"/>
        <v>Paper</v>
      </c>
      <c r="N181" s="1" t="str">
        <f t="shared" ca="1" si="58"/>
        <v>A4 Paper</v>
      </c>
      <c r="O181" s="1">
        <f t="shared" ca="1" si="59"/>
        <v>31534</v>
      </c>
      <c r="P181" s="1">
        <f t="shared" ca="1" si="60"/>
        <v>6</v>
      </c>
      <c r="Q181" s="19">
        <f t="shared" ca="1" si="61"/>
        <v>0</v>
      </c>
      <c r="R181" s="1">
        <f t="shared" ca="1" si="62"/>
        <v>5676.12</v>
      </c>
      <c r="S181" s="1">
        <f t="shared" ca="1" si="45"/>
        <v>5</v>
      </c>
      <c r="T181" s="19">
        <f t="shared" ca="1" si="46"/>
        <v>0.18</v>
      </c>
      <c r="U181" s="1" t="str">
        <f t="shared" ca="1" si="47"/>
        <v>Low Discount</v>
      </c>
    </row>
    <row r="182" spans="1:21" ht="15.6" customHeight="1" x14ac:dyDescent="0.3">
      <c r="A182" s="1" t="str">
        <f t="shared" si="42"/>
        <v>ORD-181</v>
      </c>
      <c r="B182" s="10">
        <f t="shared" ca="1" si="43"/>
        <v>45352</v>
      </c>
      <c r="C182" s="7">
        <f t="shared" ca="1" si="44"/>
        <v>45355</v>
      </c>
      <c r="D182" s="1" t="str">
        <f t="shared" ca="1" si="48"/>
        <v>Standard Class</v>
      </c>
      <c r="E182" s="1" t="str">
        <f t="shared" ca="1" si="49"/>
        <v>CU-236</v>
      </c>
      <c r="F182" s="1" t="str">
        <f t="shared" ca="1" si="50"/>
        <v>Arjun Malhotra</v>
      </c>
      <c r="G182" s="1" t="str">
        <f t="shared" ca="1" si="51"/>
        <v>Corporate</v>
      </c>
      <c r="H182" s="1" t="str">
        <f t="shared" si="52"/>
        <v>India</v>
      </c>
      <c r="I182" s="1" t="str">
        <f t="shared" ca="1" si="53"/>
        <v>North</v>
      </c>
      <c r="J182" s="1" t="str">
        <f t="shared" ca="1" si="54"/>
        <v>Gujarat</v>
      </c>
      <c r="K182" s="1" t="str">
        <f t="shared" ca="1" si="55"/>
        <v>Ahmedabad</v>
      </c>
      <c r="L182" s="1" t="str">
        <f t="shared" ca="1" si="56"/>
        <v>Office Supplies</v>
      </c>
      <c r="M182" s="1" t="str">
        <f t="shared" ca="1" si="57"/>
        <v>Table</v>
      </c>
      <c r="N182" s="1" t="str">
        <f t="shared" ca="1" si="58"/>
        <v>HP Pavilion</v>
      </c>
      <c r="O182" s="1">
        <f t="shared" ca="1" si="59"/>
        <v>22435</v>
      </c>
      <c r="P182" s="1">
        <f t="shared" ca="1" si="60"/>
        <v>2</v>
      </c>
      <c r="Q182" s="19">
        <f t="shared" ca="1" si="61"/>
        <v>0.2</v>
      </c>
      <c r="R182" s="1">
        <f t="shared" ca="1" si="62"/>
        <v>-448.70000000000039</v>
      </c>
      <c r="S182" s="1">
        <f t="shared" ca="1" si="45"/>
        <v>3</v>
      </c>
      <c r="T182" s="19">
        <f t="shared" ca="1" si="46"/>
        <v>-2.0000000000000018E-2</v>
      </c>
      <c r="U182" s="1" t="str">
        <f t="shared" ca="1" si="47"/>
        <v>High Discount</v>
      </c>
    </row>
    <row r="183" spans="1:21" ht="15.6" customHeight="1" x14ac:dyDescent="0.3">
      <c r="A183" s="1" t="str">
        <f t="shared" si="42"/>
        <v>ORD-182</v>
      </c>
      <c r="B183" s="10">
        <f t="shared" ca="1" si="43"/>
        <v>45632</v>
      </c>
      <c r="C183" s="7">
        <f t="shared" ca="1" si="44"/>
        <v>45637</v>
      </c>
      <c r="D183" s="1" t="str">
        <f t="shared" ca="1" si="48"/>
        <v>Second Class</v>
      </c>
      <c r="E183" s="1" t="str">
        <f t="shared" ca="1" si="49"/>
        <v>CU-620</v>
      </c>
      <c r="F183" s="1" t="str">
        <f t="shared" ca="1" si="50"/>
        <v>Pooja Yadav</v>
      </c>
      <c r="G183" s="1" t="str">
        <f t="shared" ca="1" si="51"/>
        <v>Consumer</v>
      </c>
      <c r="H183" s="1" t="str">
        <f t="shared" si="52"/>
        <v>India</v>
      </c>
      <c r="I183" s="1" t="str">
        <f t="shared" ca="1" si="53"/>
        <v>East</v>
      </c>
      <c r="J183" s="1" t="str">
        <f t="shared" ca="1" si="54"/>
        <v>Gujarat</v>
      </c>
      <c r="K183" s="1" t="str">
        <f t="shared" ca="1" si="55"/>
        <v>Mumbai</v>
      </c>
      <c r="L183" s="1" t="str">
        <f t="shared" ca="1" si="56"/>
        <v>Technology</v>
      </c>
      <c r="M183" s="1" t="str">
        <f t="shared" ca="1" si="57"/>
        <v>Paper</v>
      </c>
      <c r="N183" s="1" t="str">
        <f t="shared" ca="1" si="58"/>
        <v>HP Pavilion</v>
      </c>
      <c r="O183" s="1">
        <f t="shared" ca="1" si="59"/>
        <v>12802</v>
      </c>
      <c r="P183" s="1">
        <f t="shared" ca="1" si="60"/>
        <v>2</v>
      </c>
      <c r="Q183" s="19">
        <f t="shared" ca="1" si="61"/>
        <v>0.1</v>
      </c>
      <c r="R183" s="1">
        <f t="shared" ca="1" si="62"/>
        <v>1024.1599999999999</v>
      </c>
      <c r="S183" s="1">
        <f t="shared" ca="1" si="45"/>
        <v>5</v>
      </c>
      <c r="T183" s="19">
        <f t="shared" ca="1" si="46"/>
        <v>7.9999999999999988E-2</v>
      </c>
      <c r="U183" s="1" t="str">
        <f t="shared" ca="1" si="47"/>
        <v>Low Discount</v>
      </c>
    </row>
    <row r="184" spans="1:21" ht="15.6" customHeight="1" x14ac:dyDescent="0.3">
      <c r="A184" s="1" t="str">
        <f t="shared" si="42"/>
        <v>ORD-183</v>
      </c>
      <c r="B184" s="10">
        <f t="shared" ca="1" si="43"/>
        <v>45483</v>
      </c>
      <c r="C184" s="7">
        <f t="shared" ca="1" si="44"/>
        <v>45486</v>
      </c>
      <c r="D184" s="1" t="str">
        <f t="shared" ca="1" si="48"/>
        <v>Second Class</v>
      </c>
      <c r="E184" s="1" t="str">
        <f t="shared" ca="1" si="49"/>
        <v>CU-329</v>
      </c>
      <c r="F184" s="1" t="str">
        <f t="shared" ca="1" si="50"/>
        <v>Priya Singh</v>
      </c>
      <c r="G184" s="1" t="str">
        <f t="shared" ca="1" si="51"/>
        <v>Consumer</v>
      </c>
      <c r="H184" s="1" t="str">
        <f t="shared" si="52"/>
        <v>India</v>
      </c>
      <c r="I184" s="1" t="str">
        <f t="shared" ca="1" si="53"/>
        <v>North</v>
      </c>
      <c r="J184" s="1" t="str">
        <f t="shared" ca="1" si="54"/>
        <v>Gujarat</v>
      </c>
      <c r="K184" s="1" t="str">
        <f t="shared" ca="1" si="55"/>
        <v>Mumbai</v>
      </c>
      <c r="L184" s="1" t="str">
        <f t="shared" ca="1" si="56"/>
        <v>Office Supplies</v>
      </c>
      <c r="M184" s="1" t="str">
        <f t="shared" ca="1" si="57"/>
        <v>Mobile</v>
      </c>
      <c r="N184" s="1" t="str">
        <f t="shared" ca="1" si="58"/>
        <v>Office Table</v>
      </c>
      <c r="O184" s="1">
        <f t="shared" ca="1" si="59"/>
        <v>46654</v>
      </c>
      <c r="P184" s="1">
        <f t="shared" ca="1" si="60"/>
        <v>5</v>
      </c>
      <c r="Q184" s="19">
        <f t="shared" ca="1" si="61"/>
        <v>0.1</v>
      </c>
      <c r="R184" s="1">
        <f t="shared" ca="1" si="62"/>
        <v>3732.3199999999993</v>
      </c>
      <c r="S184" s="1">
        <f t="shared" ca="1" si="45"/>
        <v>3</v>
      </c>
      <c r="T184" s="19">
        <f t="shared" ca="1" si="46"/>
        <v>7.9999999999999988E-2</v>
      </c>
      <c r="U184" s="1" t="str">
        <f t="shared" ca="1" si="47"/>
        <v>Low Discount</v>
      </c>
    </row>
    <row r="185" spans="1:21" ht="15.6" customHeight="1" x14ac:dyDescent="0.3">
      <c r="A185" s="1" t="str">
        <f t="shared" si="42"/>
        <v>ORD-184</v>
      </c>
      <c r="B185" s="10">
        <f t="shared" ca="1" si="43"/>
        <v>45436</v>
      </c>
      <c r="C185" s="7">
        <f t="shared" ca="1" si="44"/>
        <v>45441</v>
      </c>
      <c r="D185" s="1" t="str">
        <f t="shared" ca="1" si="48"/>
        <v>Standard Class</v>
      </c>
      <c r="E185" s="1" t="str">
        <f t="shared" ca="1" si="49"/>
        <v>CU-390</v>
      </c>
      <c r="F185" s="1" t="str">
        <f t="shared" ca="1" si="50"/>
        <v>Neha Gupta</v>
      </c>
      <c r="G185" s="1" t="str">
        <f t="shared" ca="1" si="51"/>
        <v>Home Office</v>
      </c>
      <c r="H185" s="1" t="str">
        <f t="shared" si="52"/>
        <v>India</v>
      </c>
      <c r="I185" s="1" t="str">
        <f t="shared" ca="1" si="53"/>
        <v>West</v>
      </c>
      <c r="J185" s="1" t="str">
        <f t="shared" ca="1" si="54"/>
        <v>Karnataka</v>
      </c>
      <c r="K185" s="1" t="str">
        <f t="shared" ca="1" si="55"/>
        <v>Delhi</v>
      </c>
      <c r="L185" s="1" t="str">
        <f t="shared" ca="1" si="56"/>
        <v>Office Supplies</v>
      </c>
      <c r="M185" s="1" t="str">
        <f t="shared" ca="1" si="57"/>
        <v>Paper</v>
      </c>
      <c r="N185" s="1" t="str">
        <f t="shared" ca="1" si="58"/>
        <v>HP Pavilion</v>
      </c>
      <c r="O185" s="1">
        <f t="shared" ca="1" si="59"/>
        <v>51624</v>
      </c>
      <c r="P185" s="1">
        <f t="shared" ca="1" si="60"/>
        <v>1</v>
      </c>
      <c r="Q185" s="19">
        <f t="shared" ca="1" si="61"/>
        <v>0.1</v>
      </c>
      <c r="R185" s="1">
        <f t="shared" ca="1" si="62"/>
        <v>4129.9199999999992</v>
      </c>
      <c r="S185" s="1">
        <f t="shared" ca="1" si="45"/>
        <v>5</v>
      </c>
      <c r="T185" s="19">
        <f t="shared" ca="1" si="46"/>
        <v>7.9999999999999988E-2</v>
      </c>
      <c r="U185" s="1" t="str">
        <f t="shared" ca="1" si="47"/>
        <v>Low Discount</v>
      </c>
    </row>
    <row r="186" spans="1:21" ht="15.6" customHeight="1" x14ac:dyDescent="0.3">
      <c r="A186" s="1" t="str">
        <f t="shared" si="42"/>
        <v>ORD-185</v>
      </c>
      <c r="B186" s="10">
        <f t="shared" ca="1" si="43"/>
        <v>45603</v>
      </c>
      <c r="C186" s="7">
        <f t="shared" ca="1" si="44"/>
        <v>45603</v>
      </c>
      <c r="D186" s="1" t="str">
        <f t="shared" ca="1" si="48"/>
        <v>Second Class</v>
      </c>
      <c r="E186" s="1" t="str">
        <f t="shared" ca="1" si="49"/>
        <v>CU-845</v>
      </c>
      <c r="F186" s="1" t="str">
        <f t="shared" ca="1" si="50"/>
        <v>Neha Gupta</v>
      </c>
      <c r="G186" s="1" t="str">
        <f t="shared" ca="1" si="51"/>
        <v>Home Office</v>
      </c>
      <c r="H186" s="1" t="str">
        <f t="shared" si="52"/>
        <v>India</v>
      </c>
      <c r="I186" s="1" t="str">
        <f t="shared" ca="1" si="53"/>
        <v>West</v>
      </c>
      <c r="J186" s="1" t="str">
        <f t="shared" ca="1" si="54"/>
        <v>Maharashtra</v>
      </c>
      <c r="K186" s="1" t="str">
        <f t="shared" ca="1" si="55"/>
        <v>Bangalore</v>
      </c>
      <c r="L186" s="1" t="str">
        <f t="shared" ca="1" si="56"/>
        <v>Furniture</v>
      </c>
      <c r="M186" s="1" t="str">
        <f t="shared" ca="1" si="57"/>
        <v>Paper</v>
      </c>
      <c r="N186" s="1" t="str">
        <f t="shared" ca="1" si="58"/>
        <v>Office Chair</v>
      </c>
      <c r="O186" s="1">
        <f t="shared" ca="1" si="59"/>
        <v>57242</v>
      </c>
      <c r="P186" s="1">
        <f t="shared" ca="1" si="60"/>
        <v>3</v>
      </c>
      <c r="Q186" s="19">
        <f t="shared" ca="1" si="61"/>
        <v>0</v>
      </c>
      <c r="R186" s="1">
        <f t="shared" ca="1" si="62"/>
        <v>10303.56</v>
      </c>
      <c r="S186" s="1">
        <f t="shared" ca="1" si="45"/>
        <v>0</v>
      </c>
      <c r="T186" s="19">
        <f t="shared" ca="1" si="46"/>
        <v>0.18</v>
      </c>
      <c r="U186" s="1" t="str">
        <f t="shared" ca="1" si="47"/>
        <v>Low Discount</v>
      </c>
    </row>
    <row r="187" spans="1:21" ht="15.6" customHeight="1" x14ac:dyDescent="0.3">
      <c r="A187" s="1" t="str">
        <f t="shared" si="42"/>
        <v>ORD-186</v>
      </c>
      <c r="B187" s="10">
        <f t="shared" ca="1" si="43"/>
        <v>45367</v>
      </c>
      <c r="C187" s="7">
        <f t="shared" ca="1" si="44"/>
        <v>45371</v>
      </c>
      <c r="D187" s="1" t="str">
        <f t="shared" ca="1" si="48"/>
        <v>Standard Class</v>
      </c>
      <c r="E187" s="1" t="str">
        <f t="shared" ca="1" si="49"/>
        <v>CU-807</v>
      </c>
      <c r="F187" s="1" t="str">
        <f t="shared" ca="1" si="50"/>
        <v>Rahul Sharma</v>
      </c>
      <c r="G187" s="1" t="str">
        <f t="shared" ca="1" si="51"/>
        <v>Consumer</v>
      </c>
      <c r="H187" s="1" t="str">
        <f t="shared" si="52"/>
        <v>India</v>
      </c>
      <c r="I187" s="1" t="str">
        <f t="shared" ca="1" si="53"/>
        <v>East</v>
      </c>
      <c r="J187" s="1" t="str">
        <f t="shared" ca="1" si="54"/>
        <v>Maharashtra</v>
      </c>
      <c r="K187" s="1" t="str">
        <f t="shared" ca="1" si="55"/>
        <v>Mumbai</v>
      </c>
      <c r="L187" s="1" t="str">
        <f t="shared" ca="1" si="56"/>
        <v>Technology</v>
      </c>
      <c r="M187" s="1" t="str">
        <f t="shared" ca="1" si="57"/>
        <v>Mobile</v>
      </c>
      <c r="N187" s="1" t="str">
        <f t="shared" ca="1" si="58"/>
        <v>Office Table</v>
      </c>
      <c r="O187" s="1">
        <f t="shared" ca="1" si="59"/>
        <v>38141</v>
      </c>
      <c r="P187" s="1">
        <f t="shared" ca="1" si="60"/>
        <v>7</v>
      </c>
      <c r="Q187" s="19">
        <f t="shared" ca="1" si="61"/>
        <v>0.2</v>
      </c>
      <c r="R187" s="1">
        <f t="shared" ca="1" si="62"/>
        <v>-762.82000000000073</v>
      </c>
      <c r="S187" s="1">
        <f t="shared" ca="1" si="45"/>
        <v>4</v>
      </c>
      <c r="T187" s="19">
        <f t="shared" ca="1" si="46"/>
        <v>-2.0000000000000018E-2</v>
      </c>
      <c r="U187" s="1" t="str">
        <f t="shared" ca="1" si="47"/>
        <v>High Discount</v>
      </c>
    </row>
    <row r="188" spans="1:21" ht="15.6" customHeight="1" x14ac:dyDescent="0.3">
      <c r="A188" s="1" t="str">
        <f t="shared" si="42"/>
        <v>ORD-187</v>
      </c>
      <c r="B188" s="10">
        <f t="shared" ca="1" si="43"/>
        <v>45434</v>
      </c>
      <c r="C188" s="7">
        <f t="shared" ca="1" si="44"/>
        <v>45434</v>
      </c>
      <c r="D188" s="1" t="str">
        <f t="shared" ca="1" si="48"/>
        <v>Second Class</v>
      </c>
      <c r="E188" s="1" t="str">
        <f t="shared" ca="1" si="49"/>
        <v>CU-780</v>
      </c>
      <c r="F188" s="1" t="str">
        <f t="shared" ca="1" si="50"/>
        <v>Ravi Mehta</v>
      </c>
      <c r="G188" s="1" t="str">
        <f t="shared" ca="1" si="51"/>
        <v>Home Office</v>
      </c>
      <c r="H188" s="1" t="str">
        <f t="shared" si="52"/>
        <v>India</v>
      </c>
      <c r="I188" s="1" t="str">
        <f t="shared" ca="1" si="53"/>
        <v>West</v>
      </c>
      <c r="J188" s="1" t="str">
        <f t="shared" ca="1" si="54"/>
        <v>Gujarat</v>
      </c>
      <c r="K188" s="1" t="str">
        <f t="shared" ca="1" si="55"/>
        <v>Mumbai</v>
      </c>
      <c r="L188" s="1" t="str">
        <f t="shared" ca="1" si="56"/>
        <v>Office Supplies</v>
      </c>
      <c r="M188" s="1" t="str">
        <f t="shared" ca="1" si="57"/>
        <v>Laptop</v>
      </c>
      <c r="N188" s="1" t="str">
        <f t="shared" ca="1" si="58"/>
        <v>HP Pavilion</v>
      </c>
      <c r="O188" s="1">
        <f t="shared" ca="1" si="59"/>
        <v>41025</v>
      </c>
      <c r="P188" s="1">
        <f t="shared" ca="1" si="60"/>
        <v>7</v>
      </c>
      <c r="Q188" s="19">
        <f t="shared" ca="1" si="61"/>
        <v>0.3</v>
      </c>
      <c r="R188" s="1">
        <f t="shared" ca="1" si="62"/>
        <v>-4923</v>
      </c>
      <c r="S188" s="1">
        <f t="shared" ca="1" si="45"/>
        <v>0</v>
      </c>
      <c r="T188" s="19">
        <f t="shared" ca="1" si="46"/>
        <v>-0.12</v>
      </c>
      <c r="U188" s="1" t="str">
        <f t="shared" ca="1" si="47"/>
        <v>High Discount</v>
      </c>
    </row>
    <row r="189" spans="1:21" ht="15.6" customHeight="1" x14ac:dyDescent="0.3">
      <c r="A189" s="1" t="str">
        <f t="shared" si="42"/>
        <v>ORD-188</v>
      </c>
      <c r="B189" s="10">
        <f t="shared" ca="1" si="43"/>
        <v>45399</v>
      </c>
      <c r="C189" s="7">
        <f t="shared" ca="1" si="44"/>
        <v>45403</v>
      </c>
      <c r="D189" s="1" t="str">
        <f t="shared" ca="1" si="48"/>
        <v>Second Class</v>
      </c>
      <c r="E189" s="1" t="str">
        <f t="shared" ca="1" si="49"/>
        <v>CU-302</v>
      </c>
      <c r="F189" s="1" t="str">
        <f t="shared" ca="1" si="50"/>
        <v>Amit Verma</v>
      </c>
      <c r="G189" s="1" t="str">
        <f t="shared" ca="1" si="51"/>
        <v>Consumer</v>
      </c>
      <c r="H189" s="1" t="str">
        <f t="shared" si="52"/>
        <v>India</v>
      </c>
      <c r="I189" s="1" t="str">
        <f t="shared" ca="1" si="53"/>
        <v>East</v>
      </c>
      <c r="J189" s="1" t="str">
        <f t="shared" ca="1" si="54"/>
        <v>Maharashtra</v>
      </c>
      <c r="K189" s="1" t="str">
        <f t="shared" ca="1" si="55"/>
        <v>Delhi</v>
      </c>
      <c r="L189" s="1" t="str">
        <f t="shared" ca="1" si="56"/>
        <v>Technology</v>
      </c>
      <c r="M189" s="1" t="str">
        <f t="shared" ca="1" si="57"/>
        <v>Table</v>
      </c>
      <c r="N189" s="1" t="str">
        <f t="shared" ca="1" si="58"/>
        <v>Samsung Galaxy</v>
      </c>
      <c r="O189" s="1">
        <f t="shared" ca="1" si="59"/>
        <v>40946</v>
      </c>
      <c r="P189" s="1">
        <f t="shared" ca="1" si="60"/>
        <v>3</v>
      </c>
      <c r="Q189" s="19">
        <f t="shared" ca="1" si="61"/>
        <v>0.05</v>
      </c>
      <c r="R189" s="1">
        <f t="shared" ca="1" si="62"/>
        <v>5322.9800000000005</v>
      </c>
      <c r="S189" s="1">
        <f t="shared" ca="1" si="45"/>
        <v>4</v>
      </c>
      <c r="T189" s="19">
        <f t="shared" ca="1" si="46"/>
        <v>0.13</v>
      </c>
      <c r="U189" s="1" t="str">
        <f t="shared" ca="1" si="47"/>
        <v>Low Discount</v>
      </c>
    </row>
    <row r="190" spans="1:21" ht="15.6" customHeight="1" x14ac:dyDescent="0.3">
      <c r="A190" s="1" t="str">
        <f t="shared" si="42"/>
        <v>ORD-189</v>
      </c>
      <c r="B190" s="10">
        <f t="shared" ca="1" si="43"/>
        <v>45310</v>
      </c>
      <c r="C190" s="7">
        <f t="shared" ca="1" si="44"/>
        <v>45314</v>
      </c>
      <c r="D190" s="1" t="str">
        <f t="shared" ca="1" si="48"/>
        <v>Standard Class</v>
      </c>
      <c r="E190" s="1" t="str">
        <f t="shared" ca="1" si="49"/>
        <v>CU-268</v>
      </c>
      <c r="F190" s="1" t="str">
        <f t="shared" ca="1" si="50"/>
        <v>Arjun Malhotra</v>
      </c>
      <c r="G190" s="1" t="str">
        <f t="shared" ca="1" si="51"/>
        <v>Corporate</v>
      </c>
      <c r="H190" s="1" t="str">
        <f t="shared" si="52"/>
        <v>India</v>
      </c>
      <c r="I190" s="1" t="str">
        <f t="shared" ca="1" si="53"/>
        <v>East</v>
      </c>
      <c r="J190" s="1" t="str">
        <f t="shared" ca="1" si="54"/>
        <v>Delhi</v>
      </c>
      <c r="K190" s="1" t="str">
        <f t="shared" ca="1" si="55"/>
        <v>Delhi</v>
      </c>
      <c r="L190" s="1" t="str">
        <f t="shared" ca="1" si="56"/>
        <v>Office Supplies</v>
      </c>
      <c r="M190" s="1" t="str">
        <f t="shared" ca="1" si="57"/>
        <v>Mobile</v>
      </c>
      <c r="N190" s="1" t="str">
        <f t="shared" ca="1" si="58"/>
        <v>Wireless Mouse</v>
      </c>
      <c r="O190" s="1">
        <f t="shared" ca="1" si="59"/>
        <v>41787</v>
      </c>
      <c r="P190" s="1">
        <f t="shared" ca="1" si="60"/>
        <v>5</v>
      </c>
      <c r="Q190" s="19">
        <f t="shared" ca="1" si="61"/>
        <v>0</v>
      </c>
      <c r="R190" s="1">
        <f t="shared" ca="1" si="62"/>
        <v>7521.66</v>
      </c>
      <c r="S190" s="1">
        <f t="shared" ca="1" si="45"/>
        <v>4</v>
      </c>
      <c r="T190" s="19">
        <f t="shared" ca="1" si="46"/>
        <v>0.18</v>
      </c>
      <c r="U190" s="1" t="str">
        <f t="shared" ca="1" si="47"/>
        <v>Low Discount</v>
      </c>
    </row>
    <row r="191" spans="1:21" ht="15.6" customHeight="1" x14ac:dyDescent="0.3">
      <c r="A191" s="1" t="str">
        <f t="shared" si="42"/>
        <v>ORD-190</v>
      </c>
      <c r="B191" s="10">
        <f t="shared" ca="1" si="43"/>
        <v>45307</v>
      </c>
      <c r="C191" s="7">
        <f t="shared" ca="1" si="44"/>
        <v>45310</v>
      </c>
      <c r="D191" s="1" t="str">
        <f t="shared" ca="1" si="48"/>
        <v>Second Class</v>
      </c>
      <c r="E191" s="1" t="str">
        <f t="shared" ca="1" si="49"/>
        <v>CU-739</v>
      </c>
      <c r="F191" s="1" t="str">
        <f t="shared" ca="1" si="50"/>
        <v>Amit Verma</v>
      </c>
      <c r="G191" s="1" t="str">
        <f t="shared" ca="1" si="51"/>
        <v>Home Office</v>
      </c>
      <c r="H191" s="1" t="str">
        <f t="shared" si="52"/>
        <v>India</v>
      </c>
      <c r="I191" s="1" t="str">
        <f t="shared" ca="1" si="53"/>
        <v>South</v>
      </c>
      <c r="J191" s="1" t="str">
        <f t="shared" ca="1" si="54"/>
        <v>West Bengal</v>
      </c>
      <c r="K191" s="1" t="str">
        <f t="shared" ca="1" si="55"/>
        <v>Kolkata</v>
      </c>
      <c r="L191" s="1" t="str">
        <f t="shared" ca="1" si="56"/>
        <v>Office Supplies</v>
      </c>
      <c r="M191" s="1" t="str">
        <f t="shared" ca="1" si="57"/>
        <v>Table</v>
      </c>
      <c r="N191" s="1" t="str">
        <f t="shared" ca="1" si="58"/>
        <v>HP Pavilion</v>
      </c>
      <c r="O191" s="1">
        <f t="shared" ca="1" si="59"/>
        <v>59141</v>
      </c>
      <c r="P191" s="1">
        <f t="shared" ca="1" si="60"/>
        <v>10</v>
      </c>
      <c r="Q191" s="19">
        <f t="shared" ca="1" si="61"/>
        <v>0.3</v>
      </c>
      <c r="R191" s="1">
        <f t="shared" ca="1" si="62"/>
        <v>-7096.92</v>
      </c>
      <c r="S191" s="1">
        <f t="shared" ca="1" si="45"/>
        <v>3</v>
      </c>
      <c r="T191" s="19">
        <f t="shared" ca="1" si="46"/>
        <v>-0.12</v>
      </c>
      <c r="U191" s="1" t="str">
        <f t="shared" ca="1" si="47"/>
        <v>High Discount</v>
      </c>
    </row>
    <row r="192" spans="1:21" ht="15.6" customHeight="1" x14ac:dyDescent="0.3">
      <c r="A192" s="1" t="str">
        <f t="shared" si="42"/>
        <v>ORD-191</v>
      </c>
      <c r="B192" s="10">
        <f t="shared" ca="1" si="43"/>
        <v>45313</v>
      </c>
      <c r="C192" s="7">
        <f t="shared" ca="1" si="44"/>
        <v>45317</v>
      </c>
      <c r="D192" s="1" t="str">
        <f t="shared" ca="1" si="48"/>
        <v>Same Day</v>
      </c>
      <c r="E192" s="1" t="str">
        <f t="shared" ca="1" si="49"/>
        <v>CU-633</v>
      </c>
      <c r="F192" s="1" t="str">
        <f t="shared" ca="1" si="50"/>
        <v>Amit Verma</v>
      </c>
      <c r="G192" s="1" t="str">
        <f t="shared" ca="1" si="51"/>
        <v>Consumer</v>
      </c>
      <c r="H192" s="1" t="str">
        <f t="shared" si="52"/>
        <v>India</v>
      </c>
      <c r="I192" s="1" t="str">
        <f t="shared" ca="1" si="53"/>
        <v>East</v>
      </c>
      <c r="J192" s="1" t="str">
        <f t="shared" ca="1" si="54"/>
        <v>Tamil Nadu</v>
      </c>
      <c r="K192" s="1" t="str">
        <f t="shared" ca="1" si="55"/>
        <v>Kolkata</v>
      </c>
      <c r="L192" s="1" t="str">
        <f t="shared" ca="1" si="56"/>
        <v>Office Supplies</v>
      </c>
      <c r="M192" s="1" t="str">
        <f t="shared" ca="1" si="57"/>
        <v>Laptop</v>
      </c>
      <c r="N192" s="1" t="str">
        <f t="shared" ca="1" si="58"/>
        <v>A4 Paper</v>
      </c>
      <c r="O192" s="1">
        <f t="shared" ca="1" si="59"/>
        <v>17960</v>
      </c>
      <c r="P192" s="1">
        <f t="shared" ca="1" si="60"/>
        <v>7</v>
      </c>
      <c r="Q192" s="19">
        <f t="shared" ca="1" si="61"/>
        <v>0.2</v>
      </c>
      <c r="R192" s="1">
        <f t="shared" ca="1" si="62"/>
        <v>-359.20000000000033</v>
      </c>
      <c r="S192" s="1">
        <f t="shared" ca="1" si="45"/>
        <v>4</v>
      </c>
      <c r="T192" s="19">
        <f t="shared" ca="1" si="46"/>
        <v>-2.0000000000000018E-2</v>
      </c>
      <c r="U192" s="1" t="str">
        <f t="shared" ca="1" si="47"/>
        <v>High Discount</v>
      </c>
    </row>
    <row r="193" spans="1:21" ht="15.6" customHeight="1" x14ac:dyDescent="0.3">
      <c r="A193" s="1" t="str">
        <f t="shared" si="42"/>
        <v>ORD-192</v>
      </c>
      <c r="B193" s="10">
        <f t="shared" ca="1" si="43"/>
        <v>45488</v>
      </c>
      <c r="C193" s="7">
        <f t="shared" ca="1" si="44"/>
        <v>45490</v>
      </c>
      <c r="D193" s="1" t="str">
        <f t="shared" ca="1" si="48"/>
        <v>Second Class</v>
      </c>
      <c r="E193" s="1" t="str">
        <f t="shared" ca="1" si="49"/>
        <v>CU-310</v>
      </c>
      <c r="F193" s="1" t="str">
        <f t="shared" ca="1" si="50"/>
        <v>Amit Verma</v>
      </c>
      <c r="G193" s="1" t="str">
        <f t="shared" ca="1" si="51"/>
        <v>Home Office</v>
      </c>
      <c r="H193" s="1" t="str">
        <f t="shared" si="52"/>
        <v>India</v>
      </c>
      <c r="I193" s="1" t="str">
        <f t="shared" ca="1" si="53"/>
        <v>North</v>
      </c>
      <c r="J193" s="1" t="str">
        <f t="shared" ca="1" si="54"/>
        <v>Karnataka</v>
      </c>
      <c r="K193" s="1" t="str">
        <f t="shared" ca="1" si="55"/>
        <v>Delhi</v>
      </c>
      <c r="L193" s="1" t="str">
        <f t="shared" ca="1" si="56"/>
        <v>Technology</v>
      </c>
      <c r="M193" s="1" t="str">
        <f t="shared" ca="1" si="57"/>
        <v>Chair</v>
      </c>
      <c r="N193" s="1" t="str">
        <f t="shared" ca="1" si="58"/>
        <v>Office Table</v>
      </c>
      <c r="O193" s="1">
        <f t="shared" ca="1" si="59"/>
        <v>57297</v>
      </c>
      <c r="P193" s="1">
        <f t="shared" ca="1" si="60"/>
        <v>3</v>
      </c>
      <c r="Q193" s="19">
        <f t="shared" ca="1" si="61"/>
        <v>0.3</v>
      </c>
      <c r="R193" s="1">
        <f t="shared" ca="1" si="62"/>
        <v>-6875.6399999999994</v>
      </c>
      <c r="S193" s="1">
        <f t="shared" ca="1" si="45"/>
        <v>2</v>
      </c>
      <c r="T193" s="19">
        <f t="shared" ca="1" si="46"/>
        <v>-0.12</v>
      </c>
      <c r="U193" s="1" t="str">
        <f t="shared" ca="1" si="47"/>
        <v>High Discount</v>
      </c>
    </row>
    <row r="194" spans="1:21" ht="15.6" customHeight="1" x14ac:dyDescent="0.3">
      <c r="A194" s="1" t="str">
        <f t="shared" ref="A194:A257" si="63">"ORD-"&amp;(ROW()-1)</f>
        <v>ORD-193</v>
      </c>
      <c r="B194" s="10">
        <f t="shared" ref="B194:B257" ca="1" si="64">DATE(2024,1,1)+RANDBETWEEN(1,365)</f>
        <v>45470</v>
      </c>
      <c r="C194" s="7">
        <f t="shared" ref="C194:C257" ca="1" si="65">B194+RANDBETWEEN(0,5)</f>
        <v>45470</v>
      </c>
      <c r="D194" s="1" t="str">
        <f t="shared" ca="1" si="48"/>
        <v>Second Class</v>
      </c>
      <c r="E194" s="1" t="str">
        <f t="shared" ca="1" si="49"/>
        <v>CU-308</v>
      </c>
      <c r="F194" s="1" t="str">
        <f t="shared" ca="1" si="50"/>
        <v>Neha Gupta</v>
      </c>
      <c r="G194" s="1" t="str">
        <f t="shared" ca="1" si="51"/>
        <v>Corporate</v>
      </c>
      <c r="H194" s="1" t="str">
        <f t="shared" si="52"/>
        <v>India</v>
      </c>
      <c r="I194" s="1" t="str">
        <f t="shared" ca="1" si="53"/>
        <v>East</v>
      </c>
      <c r="J194" s="1" t="str">
        <f t="shared" ca="1" si="54"/>
        <v>Gujarat</v>
      </c>
      <c r="K194" s="1" t="str">
        <f t="shared" ca="1" si="55"/>
        <v>Mumbai</v>
      </c>
      <c r="L194" s="1" t="str">
        <f t="shared" ca="1" si="56"/>
        <v>Furniture</v>
      </c>
      <c r="M194" s="1" t="str">
        <f t="shared" ca="1" si="57"/>
        <v>Laptop</v>
      </c>
      <c r="N194" s="1" t="str">
        <f t="shared" ca="1" si="58"/>
        <v>Office Chair</v>
      </c>
      <c r="O194" s="1">
        <f t="shared" ca="1" si="59"/>
        <v>33731</v>
      </c>
      <c r="P194" s="1">
        <f t="shared" ca="1" si="60"/>
        <v>8</v>
      </c>
      <c r="Q194" s="19">
        <f t="shared" ca="1" si="61"/>
        <v>0.3</v>
      </c>
      <c r="R194" s="1">
        <f t="shared" ca="1" si="62"/>
        <v>-4047.72</v>
      </c>
      <c r="S194" s="1">
        <f t="shared" ref="S194:S257" ca="1" si="66">C194-B194</f>
        <v>0</v>
      </c>
      <c r="T194" s="19">
        <f t="shared" ref="T194:T257" ca="1" si="67">R194/O194</f>
        <v>-0.12</v>
      </c>
      <c r="U194" s="1" t="str">
        <f t="shared" ref="U194:U257" ca="1" si="68">IF(Q194&gt;=0.2,"High Discount","Low Discount")</f>
        <v>High Discount</v>
      </c>
    </row>
    <row r="195" spans="1:21" ht="15.6" customHeight="1" x14ac:dyDescent="0.3">
      <c r="A195" s="1" t="str">
        <f t="shared" si="63"/>
        <v>ORD-194</v>
      </c>
      <c r="B195" s="10">
        <f t="shared" ca="1" si="64"/>
        <v>45656</v>
      </c>
      <c r="C195" s="7">
        <f t="shared" ca="1" si="65"/>
        <v>45660</v>
      </c>
      <c r="D195" s="1" t="str">
        <f t="shared" ref="D195:D258" ca="1" si="69">CHOOSE(RANDBETWEEN(1,3),"Standard Class","Second Class","Same Day")</f>
        <v>Standard Class</v>
      </c>
      <c r="E195" s="1" t="str">
        <f t="shared" ref="E195:E258" ca="1" si="70">"CU-"&amp;RANDBETWEEN(100,999)</f>
        <v>CU-944</v>
      </c>
      <c r="F195" s="1" t="str">
        <f t="shared" ref="F195:F258" ca="1" si="71">CHOOSE(RANDBETWEEN(1,8),"Rahul Sharma","Amit Verma","Priya Singh","Sunil Kumar","Neha Gupta","Ravi Mehta","Pooja Yadav","Arjun Malhotra")</f>
        <v>Rahul Sharma</v>
      </c>
      <c r="G195" s="1" t="str">
        <f t="shared" ref="G195:G258" ca="1" si="72">CHOOSE(RANDBETWEEN(1,3),"Consumer","Corporate","Home Office")</f>
        <v>Home Office</v>
      </c>
      <c r="H195" s="1" t="str">
        <f t="shared" ref="H195:H258" si="73">"India"</f>
        <v>India</v>
      </c>
      <c r="I195" s="1" t="str">
        <f t="shared" ref="I195:I258" ca="1" si="74">CHOOSE(RANDBETWEEN(1,4),"North","South","East","West")</f>
        <v>East</v>
      </c>
      <c r="J195" s="1" t="str">
        <f t="shared" ref="J195:J258" ca="1" si="75">CHOOSE(RANDBETWEEN(1,6),"Delhi","Maharashtra","Karnataka","West Bengal","Gujarat","Tamil Nadu")</f>
        <v>Maharashtra</v>
      </c>
      <c r="K195" s="1" t="str">
        <f t="shared" ref="K195:K258" ca="1" si="76">CHOOSE(RANDBETWEEN(1,6),"Delhi","Mumbai","Bangalore","Kolkata","Ahmedabad","Chennai")</f>
        <v>Bangalore</v>
      </c>
      <c r="L195" s="1" t="str">
        <f t="shared" ref="L195:L258" ca="1" si="77">CHOOSE(RANDBETWEEN(1,3),"Technology","Furniture","Office Supplies")</f>
        <v>Technology</v>
      </c>
      <c r="M195" s="1" t="str">
        <f t="shared" ref="M195:M258" ca="1" si="78">CHOOSE(RANDBETWEEN(1,5),"Mobile","Laptop","Chair","Table","Paper")</f>
        <v>Table</v>
      </c>
      <c r="N195" s="1" t="str">
        <f t="shared" ref="N195:N258" ca="1" si="79">CHOOSE(RANDBETWEEN(1,6),"Samsung Galaxy","HP Pavilion","Office Chair","Office Table","A4 Paper","Wireless Mouse")</f>
        <v>HP Pavilion</v>
      </c>
      <c r="O195" s="1">
        <f t="shared" ref="O195:O258" ca="1" si="80">RANDBETWEEN(500,60000)</f>
        <v>40171</v>
      </c>
      <c r="P195" s="1">
        <f t="shared" ref="P195:P258" ca="1" si="81">RANDBETWEEN(1,10)</f>
        <v>5</v>
      </c>
      <c r="Q195" s="19">
        <f t="shared" ref="Q195:Q258" ca="1" si="82">CHOOSE(RANDBETWEEN(1,5),0,0.05,0.1,0.2,0.3)</f>
        <v>0.3</v>
      </c>
      <c r="R195" s="1">
        <f t="shared" ref="R195:R258" ca="1" si="83">O195*(0.18-Q195)</f>
        <v>-4820.5199999999995</v>
      </c>
      <c r="S195" s="1">
        <f t="shared" ca="1" si="66"/>
        <v>4</v>
      </c>
      <c r="T195" s="19">
        <f t="shared" ca="1" si="67"/>
        <v>-0.11999999999999998</v>
      </c>
      <c r="U195" s="1" t="str">
        <f t="shared" ca="1" si="68"/>
        <v>High Discount</v>
      </c>
    </row>
    <row r="196" spans="1:21" ht="15.6" customHeight="1" x14ac:dyDescent="0.3">
      <c r="A196" s="1" t="str">
        <f t="shared" si="63"/>
        <v>ORD-195</v>
      </c>
      <c r="B196" s="10">
        <f t="shared" ca="1" si="64"/>
        <v>45399</v>
      </c>
      <c r="C196" s="7">
        <f t="shared" ca="1" si="65"/>
        <v>45404</v>
      </c>
      <c r="D196" s="1" t="str">
        <f t="shared" ca="1" si="69"/>
        <v>Second Class</v>
      </c>
      <c r="E196" s="1" t="str">
        <f t="shared" ca="1" si="70"/>
        <v>CU-412</v>
      </c>
      <c r="F196" s="1" t="str">
        <f t="shared" ca="1" si="71"/>
        <v>Sunil Kumar</v>
      </c>
      <c r="G196" s="1" t="str">
        <f t="shared" ca="1" si="72"/>
        <v>Home Office</v>
      </c>
      <c r="H196" s="1" t="str">
        <f t="shared" si="73"/>
        <v>India</v>
      </c>
      <c r="I196" s="1" t="str">
        <f t="shared" ca="1" si="74"/>
        <v>West</v>
      </c>
      <c r="J196" s="1" t="str">
        <f t="shared" ca="1" si="75"/>
        <v>Maharashtra</v>
      </c>
      <c r="K196" s="1" t="str">
        <f t="shared" ca="1" si="76"/>
        <v>Kolkata</v>
      </c>
      <c r="L196" s="1" t="str">
        <f t="shared" ca="1" si="77"/>
        <v>Furniture</v>
      </c>
      <c r="M196" s="1" t="str">
        <f t="shared" ca="1" si="78"/>
        <v>Mobile</v>
      </c>
      <c r="N196" s="1" t="str">
        <f t="shared" ca="1" si="79"/>
        <v>Office Table</v>
      </c>
      <c r="O196" s="1">
        <f t="shared" ca="1" si="80"/>
        <v>8481</v>
      </c>
      <c r="P196" s="1">
        <f t="shared" ca="1" si="81"/>
        <v>10</v>
      </c>
      <c r="Q196" s="19">
        <f t="shared" ca="1" si="82"/>
        <v>0.2</v>
      </c>
      <c r="R196" s="1">
        <f t="shared" ca="1" si="83"/>
        <v>-169.62000000000015</v>
      </c>
      <c r="S196" s="1">
        <f t="shared" ca="1" si="66"/>
        <v>5</v>
      </c>
      <c r="T196" s="19">
        <f t="shared" ca="1" si="67"/>
        <v>-2.0000000000000018E-2</v>
      </c>
      <c r="U196" s="1" t="str">
        <f t="shared" ca="1" si="68"/>
        <v>High Discount</v>
      </c>
    </row>
    <row r="197" spans="1:21" ht="15.6" customHeight="1" x14ac:dyDescent="0.3">
      <c r="A197" s="1" t="str">
        <f t="shared" si="63"/>
        <v>ORD-196</v>
      </c>
      <c r="B197" s="10">
        <f t="shared" ca="1" si="64"/>
        <v>45603</v>
      </c>
      <c r="C197" s="7">
        <f t="shared" ca="1" si="65"/>
        <v>45607</v>
      </c>
      <c r="D197" s="1" t="str">
        <f t="shared" ca="1" si="69"/>
        <v>Standard Class</v>
      </c>
      <c r="E197" s="1" t="str">
        <f t="shared" ca="1" si="70"/>
        <v>CU-760</v>
      </c>
      <c r="F197" s="1" t="str">
        <f t="shared" ca="1" si="71"/>
        <v>Pooja Yadav</v>
      </c>
      <c r="G197" s="1" t="str">
        <f t="shared" ca="1" si="72"/>
        <v>Corporate</v>
      </c>
      <c r="H197" s="1" t="str">
        <f t="shared" si="73"/>
        <v>India</v>
      </c>
      <c r="I197" s="1" t="str">
        <f t="shared" ca="1" si="74"/>
        <v>South</v>
      </c>
      <c r="J197" s="1" t="str">
        <f t="shared" ca="1" si="75"/>
        <v>Tamil Nadu</v>
      </c>
      <c r="K197" s="1" t="str">
        <f t="shared" ca="1" si="76"/>
        <v>Bangalore</v>
      </c>
      <c r="L197" s="1" t="str">
        <f t="shared" ca="1" si="77"/>
        <v>Technology</v>
      </c>
      <c r="M197" s="1" t="str">
        <f t="shared" ca="1" si="78"/>
        <v>Table</v>
      </c>
      <c r="N197" s="1" t="str">
        <f t="shared" ca="1" si="79"/>
        <v>Wireless Mouse</v>
      </c>
      <c r="O197" s="1">
        <f t="shared" ca="1" si="80"/>
        <v>39596</v>
      </c>
      <c r="P197" s="1">
        <f t="shared" ca="1" si="81"/>
        <v>1</v>
      </c>
      <c r="Q197" s="19">
        <f t="shared" ca="1" si="82"/>
        <v>0.05</v>
      </c>
      <c r="R197" s="1">
        <f t="shared" ca="1" si="83"/>
        <v>5147.4800000000005</v>
      </c>
      <c r="S197" s="1">
        <f t="shared" ca="1" si="66"/>
        <v>4</v>
      </c>
      <c r="T197" s="19">
        <f t="shared" ca="1" si="67"/>
        <v>0.13</v>
      </c>
      <c r="U197" s="1" t="str">
        <f t="shared" ca="1" si="68"/>
        <v>Low Discount</v>
      </c>
    </row>
    <row r="198" spans="1:21" ht="15.6" customHeight="1" x14ac:dyDescent="0.3">
      <c r="A198" s="1" t="str">
        <f t="shared" si="63"/>
        <v>ORD-197</v>
      </c>
      <c r="B198" s="10">
        <f t="shared" ca="1" si="64"/>
        <v>45639</v>
      </c>
      <c r="C198" s="7">
        <f t="shared" ca="1" si="65"/>
        <v>45639</v>
      </c>
      <c r="D198" s="1" t="str">
        <f t="shared" ca="1" si="69"/>
        <v>Second Class</v>
      </c>
      <c r="E198" s="1" t="str">
        <f t="shared" ca="1" si="70"/>
        <v>CU-311</v>
      </c>
      <c r="F198" s="1" t="str">
        <f t="shared" ca="1" si="71"/>
        <v>Amit Verma</v>
      </c>
      <c r="G198" s="1" t="str">
        <f t="shared" ca="1" si="72"/>
        <v>Consumer</v>
      </c>
      <c r="H198" s="1" t="str">
        <f t="shared" si="73"/>
        <v>India</v>
      </c>
      <c r="I198" s="1" t="str">
        <f t="shared" ca="1" si="74"/>
        <v>West</v>
      </c>
      <c r="J198" s="1" t="str">
        <f t="shared" ca="1" si="75"/>
        <v>Maharashtra</v>
      </c>
      <c r="K198" s="1" t="str">
        <f t="shared" ca="1" si="76"/>
        <v>Mumbai</v>
      </c>
      <c r="L198" s="1" t="str">
        <f t="shared" ca="1" si="77"/>
        <v>Technology</v>
      </c>
      <c r="M198" s="1" t="str">
        <f t="shared" ca="1" si="78"/>
        <v>Table</v>
      </c>
      <c r="N198" s="1" t="str">
        <f t="shared" ca="1" si="79"/>
        <v>Office Table</v>
      </c>
      <c r="O198" s="1">
        <f t="shared" ca="1" si="80"/>
        <v>40381</v>
      </c>
      <c r="P198" s="1">
        <f t="shared" ca="1" si="81"/>
        <v>3</v>
      </c>
      <c r="Q198" s="19">
        <f t="shared" ca="1" si="82"/>
        <v>0.2</v>
      </c>
      <c r="R198" s="1">
        <f t="shared" ca="1" si="83"/>
        <v>-807.62000000000069</v>
      </c>
      <c r="S198" s="1">
        <f t="shared" ca="1" si="66"/>
        <v>0</v>
      </c>
      <c r="T198" s="19">
        <f t="shared" ca="1" si="67"/>
        <v>-2.0000000000000018E-2</v>
      </c>
      <c r="U198" s="1" t="str">
        <f t="shared" ca="1" si="68"/>
        <v>High Discount</v>
      </c>
    </row>
    <row r="199" spans="1:21" ht="15.6" customHeight="1" x14ac:dyDescent="0.3">
      <c r="A199" s="1" t="str">
        <f t="shared" si="63"/>
        <v>ORD-198</v>
      </c>
      <c r="B199" s="10">
        <f t="shared" ca="1" si="64"/>
        <v>45570</v>
      </c>
      <c r="C199" s="7">
        <f t="shared" ca="1" si="65"/>
        <v>45571</v>
      </c>
      <c r="D199" s="1" t="str">
        <f t="shared" ca="1" si="69"/>
        <v>Standard Class</v>
      </c>
      <c r="E199" s="1" t="str">
        <f t="shared" ca="1" si="70"/>
        <v>CU-569</v>
      </c>
      <c r="F199" s="1" t="str">
        <f t="shared" ca="1" si="71"/>
        <v>Priya Singh</v>
      </c>
      <c r="G199" s="1" t="str">
        <f t="shared" ca="1" si="72"/>
        <v>Corporate</v>
      </c>
      <c r="H199" s="1" t="str">
        <f t="shared" si="73"/>
        <v>India</v>
      </c>
      <c r="I199" s="1" t="str">
        <f t="shared" ca="1" si="74"/>
        <v>South</v>
      </c>
      <c r="J199" s="1" t="str">
        <f t="shared" ca="1" si="75"/>
        <v>Delhi</v>
      </c>
      <c r="K199" s="1" t="str">
        <f t="shared" ca="1" si="76"/>
        <v>Delhi</v>
      </c>
      <c r="L199" s="1" t="str">
        <f t="shared" ca="1" si="77"/>
        <v>Technology</v>
      </c>
      <c r="M199" s="1" t="str">
        <f t="shared" ca="1" si="78"/>
        <v>Chair</v>
      </c>
      <c r="N199" s="1" t="str">
        <f t="shared" ca="1" si="79"/>
        <v>Wireless Mouse</v>
      </c>
      <c r="O199" s="1">
        <f t="shared" ca="1" si="80"/>
        <v>9344</v>
      </c>
      <c r="P199" s="1">
        <f t="shared" ca="1" si="81"/>
        <v>7</v>
      </c>
      <c r="Q199" s="19">
        <f t="shared" ca="1" si="82"/>
        <v>0.2</v>
      </c>
      <c r="R199" s="1">
        <f t="shared" ca="1" si="83"/>
        <v>-186.88000000000017</v>
      </c>
      <c r="S199" s="1">
        <f t="shared" ca="1" si="66"/>
        <v>1</v>
      </c>
      <c r="T199" s="19">
        <f t="shared" ca="1" si="67"/>
        <v>-2.0000000000000018E-2</v>
      </c>
      <c r="U199" s="1" t="str">
        <f t="shared" ca="1" si="68"/>
        <v>High Discount</v>
      </c>
    </row>
    <row r="200" spans="1:21" ht="15.6" customHeight="1" x14ac:dyDescent="0.3">
      <c r="A200" s="1" t="str">
        <f t="shared" si="63"/>
        <v>ORD-199</v>
      </c>
      <c r="B200" s="10">
        <f t="shared" ca="1" si="64"/>
        <v>45573</v>
      </c>
      <c r="C200" s="7">
        <f t="shared" ca="1" si="65"/>
        <v>45578</v>
      </c>
      <c r="D200" s="1" t="str">
        <f t="shared" ca="1" si="69"/>
        <v>Standard Class</v>
      </c>
      <c r="E200" s="1" t="str">
        <f t="shared" ca="1" si="70"/>
        <v>CU-994</v>
      </c>
      <c r="F200" s="1" t="str">
        <f t="shared" ca="1" si="71"/>
        <v>Ravi Mehta</v>
      </c>
      <c r="G200" s="1" t="str">
        <f t="shared" ca="1" si="72"/>
        <v>Home Office</v>
      </c>
      <c r="H200" s="1" t="str">
        <f t="shared" si="73"/>
        <v>India</v>
      </c>
      <c r="I200" s="1" t="str">
        <f t="shared" ca="1" si="74"/>
        <v>North</v>
      </c>
      <c r="J200" s="1" t="str">
        <f t="shared" ca="1" si="75"/>
        <v>Delhi</v>
      </c>
      <c r="K200" s="1" t="str">
        <f t="shared" ca="1" si="76"/>
        <v>Bangalore</v>
      </c>
      <c r="L200" s="1" t="str">
        <f t="shared" ca="1" si="77"/>
        <v>Technology</v>
      </c>
      <c r="M200" s="1" t="str">
        <f t="shared" ca="1" si="78"/>
        <v>Mobile</v>
      </c>
      <c r="N200" s="1" t="str">
        <f t="shared" ca="1" si="79"/>
        <v>HP Pavilion</v>
      </c>
      <c r="O200" s="1">
        <f t="shared" ca="1" si="80"/>
        <v>47048</v>
      </c>
      <c r="P200" s="1">
        <f t="shared" ca="1" si="81"/>
        <v>8</v>
      </c>
      <c r="Q200" s="19">
        <f t="shared" ca="1" si="82"/>
        <v>0.05</v>
      </c>
      <c r="R200" s="1">
        <f t="shared" ca="1" si="83"/>
        <v>6116.24</v>
      </c>
      <c r="S200" s="1">
        <f t="shared" ca="1" si="66"/>
        <v>5</v>
      </c>
      <c r="T200" s="19">
        <f t="shared" ca="1" si="67"/>
        <v>0.13</v>
      </c>
      <c r="U200" s="1" t="str">
        <f t="shared" ca="1" si="68"/>
        <v>Low Discount</v>
      </c>
    </row>
    <row r="201" spans="1:21" ht="15.6" customHeight="1" x14ac:dyDescent="0.3">
      <c r="A201" s="1" t="str">
        <f t="shared" si="63"/>
        <v>ORD-200</v>
      </c>
      <c r="B201" s="10">
        <f t="shared" ca="1" si="64"/>
        <v>45508</v>
      </c>
      <c r="C201" s="7">
        <f t="shared" ca="1" si="65"/>
        <v>45512</v>
      </c>
      <c r="D201" s="1" t="str">
        <f t="shared" ca="1" si="69"/>
        <v>Second Class</v>
      </c>
      <c r="E201" s="1" t="str">
        <f t="shared" ca="1" si="70"/>
        <v>CU-865</v>
      </c>
      <c r="F201" s="1" t="str">
        <f t="shared" ca="1" si="71"/>
        <v>Amit Verma</v>
      </c>
      <c r="G201" s="1" t="str">
        <f t="shared" ca="1" si="72"/>
        <v>Home Office</v>
      </c>
      <c r="H201" s="1" t="str">
        <f t="shared" si="73"/>
        <v>India</v>
      </c>
      <c r="I201" s="1" t="str">
        <f t="shared" ca="1" si="74"/>
        <v>North</v>
      </c>
      <c r="J201" s="1" t="str">
        <f t="shared" ca="1" si="75"/>
        <v>Maharashtra</v>
      </c>
      <c r="K201" s="1" t="str">
        <f t="shared" ca="1" si="76"/>
        <v>Bangalore</v>
      </c>
      <c r="L201" s="1" t="str">
        <f t="shared" ca="1" si="77"/>
        <v>Technology</v>
      </c>
      <c r="M201" s="1" t="str">
        <f t="shared" ca="1" si="78"/>
        <v>Laptop</v>
      </c>
      <c r="N201" s="1" t="str">
        <f t="shared" ca="1" si="79"/>
        <v>Office Chair</v>
      </c>
      <c r="O201" s="1">
        <f t="shared" ca="1" si="80"/>
        <v>18685</v>
      </c>
      <c r="P201" s="1">
        <f t="shared" ca="1" si="81"/>
        <v>4</v>
      </c>
      <c r="Q201" s="19">
        <f t="shared" ca="1" si="82"/>
        <v>0.3</v>
      </c>
      <c r="R201" s="1">
        <f t="shared" ca="1" si="83"/>
        <v>-2242.1999999999998</v>
      </c>
      <c r="S201" s="1">
        <f t="shared" ca="1" si="66"/>
        <v>4</v>
      </c>
      <c r="T201" s="19">
        <f t="shared" ca="1" si="67"/>
        <v>-0.12</v>
      </c>
      <c r="U201" s="1" t="str">
        <f t="shared" ca="1" si="68"/>
        <v>High Discount</v>
      </c>
    </row>
    <row r="202" spans="1:21" ht="15.6" customHeight="1" x14ac:dyDescent="0.3">
      <c r="A202" s="1" t="str">
        <f t="shared" si="63"/>
        <v>ORD-201</v>
      </c>
      <c r="B202" s="10">
        <f t="shared" ca="1" si="64"/>
        <v>45478</v>
      </c>
      <c r="C202" s="7">
        <f t="shared" ca="1" si="65"/>
        <v>45482</v>
      </c>
      <c r="D202" s="1" t="str">
        <f t="shared" ca="1" si="69"/>
        <v>Same Day</v>
      </c>
      <c r="E202" s="1" t="str">
        <f t="shared" ca="1" si="70"/>
        <v>CU-120</v>
      </c>
      <c r="F202" s="1" t="str">
        <f t="shared" ca="1" si="71"/>
        <v>Arjun Malhotra</v>
      </c>
      <c r="G202" s="1" t="str">
        <f t="shared" ca="1" si="72"/>
        <v>Corporate</v>
      </c>
      <c r="H202" s="1" t="str">
        <f t="shared" si="73"/>
        <v>India</v>
      </c>
      <c r="I202" s="1" t="str">
        <f t="shared" ca="1" si="74"/>
        <v>East</v>
      </c>
      <c r="J202" s="1" t="str">
        <f t="shared" ca="1" si="75"/>
        <v>Delhi</v>
      </c>
      <c r="K202" s="1" t="str">
        <f t="shared" ca="1" si="76"/>
        <v>Chennai</v>
      </c>
      <c r="L202" s="1" t="str">
        <f t="shared" ca="1" si="77"/>
        <v>Office Supplies</v>
      </c>
      <c r="M202" s="1" t="str">
        <f t="shared" ca="1" si="78"/>
        <v>Table</v>
      </c>
      <c r="N202" s="1" t="str">
        <f t="shared" ca="1" si="79"/>
        <v>Wireless Mouse</v>
      </c>
      <c r="O202" s="1">
        <f t="shared" ca="1" si="80"/>
        <v>55796</v>
      </c>
      <c r="P202" s="1">
        <f t="shared" ca="1" si="81"/>
        <v>8</v>
      </c>
      <c r="Q202" s="19">
        <f t="shared" ca="1" si="82"/>
        <v>0</v>
      </c>
      <c r="R202" s="1">
        <f t="shared" ca="1" si="83"/>
        <v>10043.279999999999</v>
      </c>
      <c r="S202" s="1">
        <f t="shared" ca="1" si="66"/>
        <v>4</v>
      </c>
      <c r="T202" s="19">
        <f t="shared" ca="1" si="67"/>
        <v>0.17999999999999997</v>
      </c>
      <c r="U202" s="1" t="str">
        <f t="shared" ca="1" si="68"/>
        <v>Low Discount</v>
      </c>
    </row>
    <row r="203" spans="1:21" ht="15.6" customHeight="1" x14ac:dyDescent="0.3">
      <c r="A203" s="1" t="str">
        <f t="shared" si="63"/>
        <v>ORD-202</v>
      </c>
      <c r="B203" s="10">
        <f t="shared" ca="1" si="64"/>
        <v>45342</v>
      </c>
      <c r="C203" s="7">
        <f t="shared" ca="1" si="65"/>
        <v>45346</v>
      </c>
      <c r="D203" s="1" t="str">
        <f t="shared" ca="1" si="69"/>
        <v>Same Day</v>
      </c>
      <c r="E203" s="1" t="str">
        <f t="shared" ca="1" si="70"/>
        <v>CU-603</v>
      </c>
      <c r="F203" s="1" t="str">
        <f t="shared" ca="1" si="71"/>
        <v>Arjun Malhotra</v>
      </c>
      <c r="G203" s="1" t="str">
        <f t="shared" ca="1" si="72"/>
        <v>Corporate</v>
      </c>
      <c r="H203" s="1" t="str">
        <f t="shared" si="73"/>
        <v>India</v>
      </c>
      <c r="I203" s="1" t="str">
        <f t="shared" ca="1" si="74"/>
        <v>West</v>
      </c>
      <c r="J203" s="1" t="str">
        <f t="shared" ca="1" si="75"/>
        <v>West Bengal</v>
      </c>
      <c r="K203" s="1" t="str">
        <f t="shared" ca="1" si="76"/>
        <v>Delhi</v>
      </c>
      <c r="L203" s="1" t="str">
        <f t="shared" ca="1" si="77"/>
        <v>Office Supplies</v>
      </c>
      <c r="M203" s="1" t="str">
        <f t="shared" ca="1" si="78"/>
        <v>Chair</v>
      </c>
      <c r="N203" s="1" t="str">
        <f t="shared" ca="1" si="79"/>
        <v>Office Chair</v>
      </c>
      <c r="O203" s="1">
        <f t="shared" ca="1" si="80"/>
        <v>21915</v>
      </c>
      <c r="P203" s="1">
        <f t="shared" ca="1" si="81"/>
        <v>2</v>
      </c>
      <c r="Q203" s="19">
        <f t="shared" ca="1" si="82"/>
        <v>0.1</v>
      </c>
      <c r="R203" s="1">
        <f t="shared" ca="1" si="83"/>
        <v>1753.1999999999998</v>
      </c>
      <c r="S203" s="1">
        <f t="shared" ca="1" si="66"/>
        <v>4</v>
      </c>
      <c r="T203" s="19">
        <f t="shared" ca="1" si="67"/>
        <v>7.9999999999999988E-2</v>
      </c>
      <c r="U203" s="1" t="str">
        <f t="shared" ca="1" si="68"/>
        <v>Low Discount</v>
      </c>
    </row>
    <row r="204" spans="1:21" ht="15.6" customHeight="1" x14ac:dyDescent="0.3">
      <c r="A204" s="1" t="str">
        <f t="shared" si="63"/>
        <v>ORD-203</v>
      </c>
      <c r="B204" s="10">
        <f t="shared" ca="1" si="64"/>
        <v>45517</v>
      </c>
      <c r="C204" s="7">
        <f t="shared" ca="1" si="65"/>
        <v>45520</v>
      </c>
      <c r="D204" s="1" t="str">
        <f t="shared" ca="1" si="69"/>
        <v>Second Class</v>
      </c>
      <c r="E204" s="1" t="str">
        <f t="shared" ca="1" si="70"/>
        <v>CU-830</v>
      </c>
      <c r="F204" s="1" t="str">
        <f t="shared" ca="1" si="71"/>
        <v>Neha Gupta</v>
      </c>
      <c r="G204" s="1" t="str">
        <f t="shared" ca="1" si="72"/>
        <v>Home Office</v>
      </c>
      <c r="H204" s="1" t="str">
        <f t="shared" si="73"/>
        <v>India</v>
      </c>
      <c r="I204" s="1" t="str">
        <f t="shared" ca="1" si="74"/>
        <v>South</v>
      </c>
      <c r="J204" s="1" t="str">
        <f t="shared" ca="1" si="75"/>
        <v>Gujarat</v>
      </c>
      <c r="K204" s="1" t="str">
        <f t="shared" ca="1" si="76"/>
        <v>Chennai</v>
      </c>
      <c r="L204" s="1" t="str">
        <f t="shared" ca="1" si="77"/>
        <v>Technology</v>
      </c>
      <c r="M204" s="1" t="str">
        <f t="shared" ca="1" si="78"/>
        <v>Chair</v>
      </c>
      <c r="N204" s="1" t="str">
        <f t="shared" ca="1" si="79"/>
        <v>A4 Paper</v>
      </c>
      <c r="O204" s="1">
        <f t="shared" ca="1" si="80"/>
        <v>15892</v>
      </c>
      <c r="P204" s="1">
        <f t="shared" ca="1" si="81"/>
        <v>4</v>
      </c>
      <c r="Q204" s="19">
        <f t="shared" ca="1" si="82"/>
        <v>0</v>
      </c>
      <c r="R204" s="1">
        <f t="shared" ca="1" si="83"/>
        <v>2860.56</v>
      </c>
      <c r="S204" s="1">
        <f t="shared" ca="1" si="66"/>
        <v>3</v>
      </c>
      <c r="T204" s="19">
        <f t="shared" ca="1" si="67"/>
        <v>0.18</v>
      </c>
      <c r="U204" s="1" t="str">
        <f t="shared" ca="1" si="68"/>
        <v>Low Discount</v>
      </c>
    </row>
    <row r="205" spans="1:21" ht="15.6" customHeight="1" x14ac:dyDescent="0.3">
      <c r="A205" s="1" t="str">
        <f t="shared" si="63"/>
        <v>ORD-204</v>
      </c>
      <c r="B205" s="10">
        <f t="shared" ca="1" si="64"/>
        <v>45357</v>
      </c>
      <c r="C205" s="7">
        <f t="shared" ca="1" si="65"/>
        <v>45359</v>
      </c>
      <c r="D205" s="1" t="str">
        <f t="shared" ca="1" si="69"/>
        <v>Same Day</v>
      </c>
      <c r="E205" s="1" t="str">
        <f t="shared" ca="1" si="70"/>
        <v>CU-503</v>
      </c>
      <c r="F205" s="1" t="str">
        <f t="shared" ca="1" si="71"/>
        <v>Sunil Kumar</v>
      </c>
      <c r="G205" s="1" t="str">
        <f t="shared" ca="1" si="72"/>
        <v>Consumer</v>
      </c>
      <c r="H205" s="1" t="str">
        <f t="shared" si="73"/>
        <v>India</v>
      </c>
      <c r="I205" s="1" t="str">
        <f t="shared" ca="1" si="74"/>
        <v>West</v>
      </c>
      <c r="J205" s="1" t="str">
        <f t="shared" ca="1" si="75"/>
        <v>Tamil Nadu</v>
      </c>
      <c r="K205" s="1" t="str">
        <f t="shared" ca="1" si="76"/>
        <v>Chennai</v>
      </c>
      <c r="L205" s="1" t="str">
        <f t="shared" ca="1" si="77"/>
        <v>Furniture</v>
      </c>
      <c r="M205" s="1" t="str">
        <f t="shared" ca="1" si="78"/>
        <v>Mobile</v>
      </c>
      <c r="N205" s="1" t="str">
        <f t="shared" ca="1" si="79"/>
        <v>Office Table</v>
      </c>
      <c r="O205" s="1">
        <f t="shared" ca="1" si="80"/>
        <v>54871</v>
      </c>
      <c r="P205" s="1">
        <f t="shared" ca="1" si="81"/>
        <v>8</v>
      </c>
      <c r="Q205" s="19">
        <f t="shared" ca="1" si="82"/>
        <v>0.05</v>
      </c>
      <c r="R205" s="1">
        <f t="shared" ca="1" si="83"/>
        <v>7133.2300000000005</v>
      </c>
      <c r="S205" s="1">
        <f t="shared" ca="1" si="66"/>
        <v>2</v>
      </c>
      <c r="T205" s="19">
        <f t="shared" ca="1" si="67"/>
        <v>0.13</v>
      </c>
      <c r="U205" s="1" t="str">
        <f t="shared" ca="1" si="68"/>
        <v>Low Discount</v>
      </c>
    </row>
    <row r="206" spans="1:21" ht="15.6" customHeight="1" x14ac:dyDescent="0.3">
      <c r="A206" s="1" t="str">
        <f t="shared" si="63"/>
        <v>ORD-205</v>
      </c>
      <c r="B206" s="10">
        <f t="shared" ca="1" si="64"/>
        <v>45520</v>
      </c>
      <c r="C206" s="7">
        <f t="shared" ca="1" si="65"/>
        <v>45524</v>
      </c>
      <c r="D206" s="1" t="str">
        <f t="shared" ca="1" si="69"/>
        <v>Same Day</v>
      </c>
      <c r="E206" s="1" t="str">
        <f t="shared" ca="1" si="70"/>
        <v>CU-878</v>
      </c>
      <c r="F206" s="1" t="str">
        <f t="shared" ca="1" si="71"/>
        <v>Sunil Kumar</v>
      </c>
      <c r="G206" s="1" t="str">
        <f t="shared" ca="1" si="72"/>
        <v>Corporate</v>
      </c>
      <c r="H206" s="1" t="str">
        <f t="shared" si="73"/>
        <v>India</v>
      </c>
      <c r="I206" s="1" t="str">
        <f t="shared" ca="1" si="74"/>
        <v>East</v>
      </c>
      <c r="J206" s="1" t="str">
        <f t="shared" ca="1" si="75"/>
        <v>Delhi</v>
      </c>
      <c r="K206" s="1" t="str">
        <f t="shared" ca="1" si="76"/>
        <v>Chennai</v>
      </c>
      <c r="L206" s="1" t="str">
        <f t="shared" ca="1" si="77"/>
        <v>Office Supplies</v>
      </c>
      <c r="M206" s="1" t="str">
        <f t="shared" ca="1" si="78"/>
        <v>Laptop</v>
      </c>
      <c r="N206" s="1" t="str">
        <f t="shared" ca="1" si="79"/>
        <v>HP Pavilion</v>
      </c>
      <c r="O206" s="1">
        <f t="shared" ca="1" si="80"/>
        <v>53381</v>
      </c>
      <c r="P206" s="1">
        <f t="shared" ca="1" si="81"/>
        <v>7</v>
      </c>
      <c r="Q206" s="19">
        <f t="shared" ca="1" si="82"/>
        <v>0.2</v>
      </c>
      <c r="R206" s="1">
        <f t="shared" ca="1" si="83"/>
        <v>-1067.620000000001</v>
      </c>
      <c r="S206" s="1">
        <f t="shared" ca="1" si="66"/>
        <v>4</v>
      </c>
      <c r="T206" s="19">
        <f t="shared" ca="1" si="67"/>
        <v>-2.0000000000000018E-2</v>
      </c>
      <c r="U206" s="1" t="str">
        <f t="shared" ca="1" si="68"/>
        <v>High Discount</v>
      </c>
    </row>
    <row r="207" spans="1:21" ht="15.6" customHeight="1" x14ac:dyDescent="0.3">
      <c r="A207" s="1" t="str">
        <f t="shared" si="63"/>
        <v>ORD-206</v>
      </c>
      <c r="B207" s="10">
        <f t="shared" ca="1" si="64"/>
        <v>45587</v>
      </c>
      <c r="C207" s="7">
        <f t="shared" ca="1" si="65"/>
        <v>45588</v>
      </c>
      <c r="D207" s="1" t="str">
        <f t="shared" ca="1" si="69"/>
        <v>Same Day</v>
      </c>
      <c r="E207" s="1" t="str">
        <f t="shared" ca="1" si="70"/>
        <v>CU-676</v>
      </c>
      <c r="F207" s="1" t="str">
        <f t="shared" ca="1" si="71"/>
        <v>Amit Verma</v>
      </c>
      <c r="G207" s="1" t="str">
        <f t="shared" ca="1" si="72"/>
        <v>Corporate</v>
      </c>
      <c r="H207" s="1" t="str">
        <f t="shared" si="73"/>
        <v>India</v>
      </c>
      <c r="I207" s="1" t="str">
        <f t="shared" ca="1" si="74"/>
        <v>North</v>
      </c>
      <c r="J207" s="1" t="str">
        <f t="shared" ca="1" si="75"/>
        <v>Tamil Nadu</v>
      </c>
      <c r="K207" s="1" t="str">
        <f t="shared" ca="1" si="76"/>
        <v>Delhi</v>
      </c>
      <c r="L207" s="1" t="str">
        <f t="shared" ca="1" si="77"/>
        <v>Office Supplies</v>
      </c>
      <c r="M207" s="1" t="str">
        <f t="shared" ca="1" si="78"/>
        <v>Table</v>
      </c>
      <c r="N207" s="1" t="str">
        <f t="shared" ca="1" si="79"/>
        <v>Office Table</v>
      </c>
      <c r="O207" s="1">
        <f t="shared" ca="1" si="80"/>
        <v>15895</v>
      </c>
      <c r="P207" s="1">
        <f t="shared" ca="1" si="81"/>
        <v>4</v>
      </c>
      <c r="Q207" s="19">
        <f t="shared" ca="1" si="82"/>
        <v>0.2</v>
      </c>
      <c r="R207" s="1">
        <f t="shared" ca="1" si="83"/>
        <v>-317.90000000000026</v>
      </c>
      <c r="S207" s="1">
        <f t="shared" ca="1" si="66"/>
        <v>1</v>
      </c>
      <c r="T207" s="19">
        <f t="shared" ca="1" si="67"/>
        <v>-2.0000000000000018E-2</v>
      </c>
      <c r="U207" s="1" t="str">
        <f t="shared" ca="1" si="68"/>
        <v>High Discount</v>
      </c>
    </row>
    <row r="208" spans="1:21" ht="15.6" customHeight="1" x14ac:dyDescent="0.3">
      <c r="A208" s="1" t="str">
        <f t="shared" si="63"/>
        <v>ORD-207</v>
      </c>
      <c r="B208" s="10">
        <f t="shared" ca="1" si="64"/>
        <v>45561</v>
      </c>
      <c r="C208" s="7">
        <f t="shared" ca="1" si="65"/>
        <v>45561</v>
      </c>
      <c r="D208" s="1" t="str">
        <f t="shared" ca="1" si="69"/>
        <v>Standard Class</v>
      </c>
      <c r="E208" s="1" t="str">
        <f t="shared" ca="1" si="70"/>
        <v>CU-331</v>
      </c>
      <c r="F208" s="1" t="str">
        <f t="shared" ca="1" si="71"/>
        <v>Rahul Sharma</v>
      </c>
      <c r="G208" s="1" t="str">
        <f t="shared" ca="1" si="72"/>
        <v>Home Office</v>
      </c>
      <c r="H208" s="1" t="str">
        <f t="shared" si="73"/>
        <v>India</v>
      </c>
      <c r="I208" s="1" t="str">
        <f t="shared" ca="1" si="74"/>
        <v>North</v>
      </c>
      <c r="J208" s="1" t="str">
        <f t="shared" ca="1" si="75"/>
        <v>Gujarat</v>
      </c>
      <c r="K208" s="1" t="str">
        <f t="shared" ca="1" si="76"/>
        <v>Kolkata</v>
      </c>
      <c r="L208" s="1" t="str">
        <f t="shared" ca="1" si="77"/>
        <v>Furniture</v>
      </c>
      <c r="M208" s="1" t="str">
        <f t="shared" ca="1" si="78"/>
        <v>Paper</v>
      </c>
      <c r="N208" s="1" t="str">
        <f t="shared" ca="1" si="79"/>
        <v>A4 Paper</v>
      </c>
      <c r="O208" s="1">
        <f t="shared" ca="1" si="80"/>
        <v>29286</v>
      </c>
      <c r="P208" s="1">
        <f t="shared" ca="1" si="81"/>
        <v>4</v>
      </c>
      <c r="Q208" s="19">
        <f t="shared" ca="1" si="82"/>
        <v>0.1</v>
      </c>
      <c r="R208" s="1">
        <f t="shared" ca="1" si="83"/>
        <v>2342.8799999999997</v>
      </c>
      <c r="S208" s="1">
        <f t="shared" ca="1" si="66"/>
        <v>0</v>
      </c>
      <c r="T208" s="19">
        <f t="shared" ca="1" si="67"/>
        <v>7.9999999999999988E-2</v>
      </c>
      <c r="U208" s="1" t="str">
        <f t="shared" ca="1" si="68"/>
        <v>Low Discount</v>
      </c>
    </row>
    <row r="209" spans="1:21" ht="15.6" customHeight="1" x14ac:dyDescent="0.3">
      <c r="A209" s="1" t="str">
        <f t="shared" si="63"/>
        <v>ORD-208</v>
      </c>
      <c r="B209" s="10">
        <f t="shared" ca="1" si="64"/>
        <v>45433</v>
      </c>
      <c r="C209" s="7">
        <f t="shared" ca="1" si="65"/>
        <v>45434</v>
      </c>
      <c r="D209" s="1" t="str">
        <f t="shared" ca="1" si="69"/>
        <v>Second Class</v>
      </c>
      <c r="E209" s="1" t="str">
        <f t="shared" ca="1" si="70"/>
        <v>CU-476</v>
      </c>
      <c r="F209" s="1" t="str">
        <f t="shared" ca="1" si="71"/>
        <v>Arjun Malhotra</v>
      </c>
      <c r="G209" s="1" t="str">
        <f t="shared" ca="1" si="72"/>
        <v>Home Office</v>
      </c>
      <c r="H209" s="1" t="str">
        <f t="shared" si="73"/>
        <v>India</v>
      </c>
      <c r="I209" s="1" t="str">
        <f t="shared" ca="1" si="74"/>
        <v>West</v>
      </c>
      <c r="J209" s="1" t="str">
        <f t="shared" ca="1" si="75"/>
        <v>Karnataka</v>
      </c>
      <c r="K209" s="1" t="str">
        <f t="shared" ca="1" si="76"/>
        <v>Ahmedabad</v>
      </c>
      <c r="L209" s="1" t="str">
        <f t="shared" ca="1" si="77"/>
        <v>Office Supplies</v>
      </c>
      <c r="M209" s="1" t="str">
        <f t="shared" ca="1" si="78"/>
        <v>Paper</v>
      </c>
      <c r="N209" s="1" t="str">
        <f t="shared" ca="1" si="79"/>
        <v>Office Table</v>
      </c>
      <c r="O209" s="1">
        <f t="shared" ca="1" si="80"/>
        <v>8576</v>
      </c>
      <c r="P209" s="1">
        <f t="shared" ca="1" si="81"/>
        <v>4</v>
      </c>
      <c r="Q209" s="19">
        <f t="shared" ca="1" si="82"/>
        <v>0.1</v>
      </c>
      <c r="R209" s="1">
        <f t="shared" ca="1" si="83"/>
        <v>686.07999999999993</v>
      </c>
      <c r="S209" s="1">
        <f t="shared" ca="1" si="66"/>
        <v>1</v>
      </c>
      <c r="T209" s="19">
        <f t="shared" ca="1" si="67"/>
        <v>7.9999999999999988E-2</v>
      </c>
      <c r="U209" s="1" t="str">
        <f t="shared" ca="1" si="68"/>
        <v>Low Discount</v>
      </c>
    </row>
    <row r="210" spans="1:21" ht="15.6" customHeight="1" x14ac:dyDescent="0.3">
      <c r="A210" s="1" t="str">
        <f t="shared" si="63"/>
        <v>ORD-209</v>
      </c>
      <c r="B210" s="10">
        <f t="shared" ca="1" si="64"/>
        <v>45430</v>
      </c>
      <c r="C210" s="7">
        <f t="shared" ca="1" si="65"/>
        <v>45432</v>
      </c>
      <c r="D210" s="1" t="str">
        <f t="shared" ca="1" si="69"/>
        <v>Same Day</v>
      </c>
      <c r="E210" s="1" t="str">
        <f t="shared" ca="1" si="70"/>
        <v>CU-776</v>
      </c>
      <c r="F210" s="1" t="str">
        <f t="shared" ca="1" si="71"/>
        <v>Amit Verma</v>
      </c>
      <c r="G210" s="1" t="str">
        <f t="shared" ca="1" si="72"/>
        <v>Corporate</v>
      </c>
      <c r="H210" s="1" t="str">
        <f t="shared" si="73"/>
        <v>India</v>
      </c>
      <c r="I210" s="1" t="str">
        <f t="shared" ca="1" si="74"/>
        <v>North</v>
      </c>
      <c r="J210" s="1" t="str">
        <f t="shared" ca="1" si="75"/>
        <v>Gujarat</v>
      </c>
      <c r="K210" s="1" t="str">
        <f t="shared" ca="1" si="76"/>
        <v>Kolkata</v>
      </c>
      <c r="L210" s="1" t="str">
        <f t="shared" ca="1" si="77"/>
        <v>Furniture</v>
      </c>
      <c r="M210" s="1" t="str">
        <f t="shared" ca="1" si="78"/>
        <v>Table</v>
      </c>
      <c r="N210" s="1" t="str">
        <f t="shared" ca="1" si="79"/>
        <v>Office Chair</v>
      </c>
      <c r="O210" s="1">
        <f t="shared" ca="1" si="80"/>
        <v>58768</v>
      </c>
      <c r="P210" s="1">
        <f t="shared" ca="1" si="81"/>
        <v>3</v>
      </c>
      <c r="Q210" s="19">
        <f t="shared" ca="1" si="82"/>
        <v>0</v>
      </c>
      <c r="R210" s="1">
        <f t="shared" ca="1" si="83"/>
        <v>10578.24</v>
      </c>
      <c r="S210" s="1">
        <f t="shared" ca="1" si="66"/>
        <v>2</v>
      </c>
      <c r="T210" s="19">
        <f t="shared" ca="1" si="67"/>
        <v>0.18</v>
      </c>
      <c r="U210" s="1" t="str">
        <f t="shared" ca="1" si="68"/>
        <v>Low Discount</v>
      </c>
    </row>
    <row r="211" spans="1:21" ht="15.6" customHeight="1" x14ac:dyDescent="0.3">
      <c r="A211" s="1" t="str">
        <f t="shared" si="63"/>
        <v>ORD-210</v>
      </c>
      <c r="B211" s="10">
        <f t="shared" ca="1" si="64"/>
        <v>45320</v>
      </c>
      <c r="C211" s="7">
        <f t="shared" ca="1" si="65"/>
        <v>45322</v>
      </c>
      <c r="D211" s="1" t="str">
        <f t="shared" ca="1" si="69"/>
        <v>Second Class</v>
      </c>
      <c r="E211" s="1" t="str">
        <f t="shared" ca="1" si="70"/>
        <v>CU-566</v>
      </c>
      <c r="F211" s="1" t="str">
        <f t="shared" ca="1" si="71"/>
        <v>Pooja Yadav</v>
      </c>
      <c r="G211" s="1" t="str">
        <f t="shared" ca="1" si="72"/>
        <v>Corporate</v>
      </c>
      <c r="H211" s="1" t="str">
        <f t="shared" si="73"/>
        <v>India</v>
      </c>
      <c r="I211" s="1" t="str">
        <f t="shared" ca="1" si="74"/>
        <v>South</v>
      </c>
      <c r="J211" s="1" t="str">
        <f t="shared" ca="1" si="75"/>
        <v>Maharashtra</v>
      </c>
      <c r="K211" s="1" t="str">
        <f t="shared" ca="1" si="76"/>
        <v>Mumbai</v>
      </c>
      <c r="L211" s="1" t="str">
        <f t="shared" ca="1" si="77"/>
        <v>Furniture</v>
      </c>
      <c r="M211" s="1" t="str">
        <f t="shared" ca="1" si="78"/>
        <v>Chair</v>
      </c>
      <c r="N211" s="1" t="str">
        <f t="shared" ca="1" si="79"/>
        <v>A4 Paper</v>
      </c>
      <c r="O211" s="1">
        <f t="shared" ca="1" si="80"/>
        <v>17652</v>
      </c>
      <c r="P211" s="1">
        <f t="shared" ca="1" si="81"/>
        <v>5</v>
      </c>
      <c r="Q211" s="19">
        <f t="shared" ca="1" si="82"/>
        <v>0.2</v>
      </c>
      <c r="R211" s="1">
        <f t="shared" ca="1" si="83"/>
        <v>-353.0400000000003</v>
      </c>
      <c r="S211" s="1">
        <f t="shared" ca="1" si="66"/>
        <v>2</v>
      </c>
      <c r="T211" s="19">
        <f t="shared" ca="1" si="67"/>
        <v>-2.0000000000000018E-2</v>
      </c>
      <c r="U211" s="1" t="str">
        <f t="shared" ca="1" si="68"/>
        <v>High Discount</v>
      </c>
    </row>
    <row r="212" spans="1:21" ht="15.6" customHeight="1" x14ac:dyDescent="0.3">
      <c r="A212" s="1" t="str">
        <f t="shared" si="63"/>
        <v>ORD-211</v>
      </c>
      <c r="B212" s="10">
        <f t="shared" ca="1" si="64"/>
        <v>45540</v>
      </c>
      <c r="C212" s="7">
        <f t="shared" ca="1" si="65"/>
        <v>45542</v>
      </c>
      <c r="D212" s="1" t="str">
        <f t="shared" ca="1" si="69"/>
        <v>Second Class</v>
      </c>
      <c r="E212" s="1" t="str">
        <f t="shared" ca="1" si="70"/>
        <v>CU-931</v>
      </c>
      <c r="F212" s="1" t="str">
        <f t="shared" ca="1" si="71"/>
        <v>Neha Gupta</v>
      </c>
      <c r="G212" s="1" t="str">
        <f t="shared" ca="1" si="72"/>
        <v>Corporate</v>
      </c>
      <c r="H212" s="1" t="str">
        <f t="shared" si="73"/>
        <v>India</v>
      </c>
      <c r="I212" s="1" t="str">
        <f t="shared" ca="1" si="74"/>
        <v>West</v>
      </c>
      <c r="J212" s="1" t="str">
        <f t="shared" ca="1" si="75"/>
        <v>Gujarat</v>
      </c>
      <c r="K212" s="1" t="str">
        <f t="shared" ca="1" si="76"/>
        <v>Delhi</v>
      </c>
      <c r="L212" s="1" t="str">
        <f t="shared" ca="1" si="77"/>
        <v>Technology</v>
      </c>
      <c r="M212" s="1" t="str">
        <f t="shared" ca="1" si="78"/>
        <v>Laptop</v>
      </c>
      <c r="N212" s="1" t="str">
        <f t="shared" ca="1" si="79"/>
        <v>Wireless Mouse</v>
      </c>
      <c r="O212" s="1">
        <f t="shared" ca="1" si="80"/>
        <v>28001</v>
      </c>
      <c r="P212" s="1">
        <f t="shared" ca="1" si="81"/>
        <v>5</v>
      </c>
      <c r="Q212" s="19">
        <f t="shared" ca="1" si="82"/>
        <v>0.2</v>
      </c>
      <c r="R212" s="1">
        <f t="shared" ca="1" si="83"/>
        <v>-560.02000000000055</v>
      </c>
      <c r="S212" s="1">
        <f t="shared" ca="1" si="66"/>
        <v>2</v>
      </c>
      <c r="T212" s="19">
        <f t="shared" ca="1" si="67"/>
        <v>-2.0000000000000021E-2</v>
      </c>
      <c r="U212" s="1" t="str">
        <f t="shared" ca="1" si="68"/>
        <v>High Discount</v>
      </c>
    </row>
    <row r="213" spans="1:21" ht="15.6" customHeight="1" x14ac:dyDescent="0.3">
      <c r="A213" s="1" t="str">
        <f t="shared" si="63"/>
        <v>ORD-212</v>
      </c>
      <c r="B213" s="10">
        <f t="shared" ca="1" si="64"/>
        <v>45378</v>
      </c>
      <c r="C213" s="7">
        <f t="shared" ca="1" si="65"/>
        <v>45378</v>
      </c>
      <c r="D213" s="1" t="str">
        <f t="shared" ca="1" si="69"/>
        <v>Second Class</v>
      </c>
      <c r="E213" s="1" t="str">
        <f t="shared" ca="1" si="70"/>
        <v>CU-873</v>
      </c>
      <c r="F213" s="1" t="str">
        <f t="shared" ca="1" si="71"/>
        <v>Priya Singh</v>
      </c>
      <c r="G213" s="1" t="str">
        <f t="shared" ca="1" si="72"/>
        <v>Corporate</v>
      </c>
      <c r="H213" s="1" t="str">
        <f t="shared" si="73"/>
        <v>India</v>
      </c>
      <c r="I213" s="1" t="str">
        <f t="shared" ca="1" si="74"/>
        <v>West</v>
      </c>
      <c r="J213" s="1" t="str">
        <f t="shared" ca="1" si="75"/>
        <v>Tamil Nadu</v>
      </c>
      <c r="K213" s="1" t="str">
        <f t="shared" ca="1" si="76"/>
        <v>Bangalore</v>
      </c>
      <c r="L213" s="1" t="str">
        <f t="shared" ca="1" si="77"/>
        <v>Technology</v>
      </c>
      <c r="M213" s="1" t="str">
        <f t="shared" ca="1" si="78"/>
        <v>Mobile</v>
      </c>
      <c r="N213" s="1" t="str">
        <f t="shared" ca="1" si="79"/>
        <v>HP Pavilion</v>
      </c>
      <c r="O213" s="1">
        <f t="shared" ca="1" si="80"/>
        <v>59877</v>
      </c>
      <c r="P213" s="1">
        <f t="shared" ca="1" si="81"/>
        <v>7</v>
      </c>
      <c r="Q213" s="19">
        <f t="shared" ca="1" si="82"/>
        <v>0.2</v>
      </c>
      <c r="R213" s="1">
        <f t="shared" ca="1" si="83"/>
        <v>-1197.5400000000011</v>
      </c>
      <c r="S213" s="1">
        <f t="shared" ca="1" si="66"/>
        <v>0</v>
      </c>
      <c r="T213" s="19">
        <f t="shared" ca="1" si="67"/>
        <v>-2.0000000000000018E-2</v>
      </c>
      <c r="U213" s="1" t="str">
        <f t="shared" ca="1" si="68"/>
        <v>High Discount</v>
      </c>
    </row>
    <row r="214" spans="1:21" ht="15.6" customHeight="1" x14ac:dyDescent="0.3">
      <c r="A214" s="1" t="str">
        <f t="shared" si="63"/>
        <v>ORD-213</v>
      </c>
      <c r="B214" s="10">
        <f t="shared" ca="1" si="64"/>
        <v>45475</v>
      </c>
      <c r="C214" s="7">
        <f t="shared" ca="1" si="65"/>
        <v>45477</v>
      </c>
      <c r="D214" s="1" t="str">
        <f t="shared" ca="1" si="69"/>
        <v>Same Day</v>
      </c>
      <c r="E214" s="1" t="str">
        <f t="shared" ca="1" si="70"/>
        <v>CU-194</v>
      </c>
      <c r="F214" s="1" t="str">
        <f t="shared" ca="1" si="71"/>
        <v>Rahul Sharma</v>
      </c>
      <c r="G214" s="1" t="str">
        <f t="shared" ca="1" si="72"/>
        <v>Corporate</v>
      </c>
      <c r="H214" s="1" t="str">
        <f t="shared" si="73"/>
        <v>India</v>
      </c>
      <c r="I214" s="1" t="str">
        <f t="shared" ca="1" si="74"/>
        <v>East</v>
      </c>
      <c r="J214" s="1" t="str">
        <f t="shared" ca="1" si="75"/>
        <v>Maharashtra</v>
      </c>
      <c r="K214" s="1" t="str">
        <f t="shared" ca="1" si="76"/>
        <v>Bangalore</v>
      </c>
      <c r="L214" s="1" t="str">
        <f t="shared" ca="1" si="77"/>
        <v>Office Supplies</v>
      </c>
      <c r="M214" s="1" t="str">
        <f t="shared" ca="1" si="78"/>
        <v>Mobile</v>
      </c>
      <c r="N214" s="1" t="str">
        <f t="shared" ca="1" si="79"/>
        <v>Wireless Mouse</v>
      </c>
      <c r="O214" s="1">
        <f t="shared" ca="1" si="80"/>
        <v>7637</v>
      </c>
      <c r="P214" s="1">
        <f t="shared" ca="1" si="81"/>
        <v>8</v>
      </c>
      <c r="Q214" s="19">
        <f t="shared" ca="1" si="82"/>
        <v>0.05</v>
      </c>
      <c r="R214" s="1">
        <f t="shared" ca="1" si="83"/>
        <v>992.81000000000006</v>
      </c>
      <c r="S214" s="1">
        <f t="shared" ca="1" si="66"/>
        <v>2</v>
      </c>
      <c r="T214" s="19">
        <f t="shared" ca="1" si="67"/>
        <v>0.13</v>
      </c>
      <c r="U214" s="1" t="str">
        <f t="shared" ca="1" si="68"/>
        <v>Low Discount</v>
      </c>
    </row>
    <row r="215" spans="1:21" ht="15.6" customHeight="1" x14ac:dyDescent="0.3">
      <c r="A215" s="1" t="str">
        <f t="shared" si="63"/>
        <v>ORD-214</v>
      </c>
      <c r="B215" s="10">
        <f t="shared" ca="1" si="64"/>
        <v>45448</v>
      </c>
      <c r="C215" s="7">
        <f t="shared" ca="1" si="65"/>
        <v>45450</v>
      </c>
      <c r="D215" s="1" t="str">
        <f t="shared" ca="1" si="69"/>
        <v>Same Day</v>
      </c>
      <c r="E215" s="1" t="str">
        <f t="shared" ca="1" si="70"/>
        <v>CU-124</v>
      </c>
      <c r="F215" s="1" t="str">
        <f t="shared" ca="1" si="71"/>
        <v>Sunil Kumar</v>
      </c>
      <c r="G215" s="1" t="str">
        <f t="shared" ca="1" si="72"/>
        <v>Consumer</v>
      </c>
      <c r="H215" s="1" t="str">
        <f t="shared" si="73"/>
        <v>India</v>
      </c>
      <c r="I215" s="1" t="str">
        <f t="shared" ca="1" si="74"/>
        <v>South</v>
      </c>
      <c r="J215" s="1" t="str">
        <f t="shared" ca="1" si="75"/>
        <v>Tamil Nadu</v>
      </c>
      <c r="K215" s="1" t="str">
        <f t="shared" ca="1" si="76"/>
        <v>Bangalore</v>
      </c>
      <c r="L215" s="1" t="str">
        <f t="shared" ca="1" si="77"/>
        <v>Furniture</v>
      </c>
      <c r="M215" s="1" t="str">
        <f t="shared" ca="1" si="78"/>
        <v>Chair</v>
      </c>
      <c r="N215" s="1" t="str">
        <f t="shared" ca="1" si="79"/>
        <v>A4 Paper</v>
      </c>
      <c r="O215" s="1">
        <f t="shared" ca="1" si="80"/>
        <v>15670</v>
      </c>
      <c r="P215" s="1">
        <f t="shared" ca="1" si="81"/>
        <v>7</v>
      </c>
      <c r="Q215" s="19">
        <f t="shared" ca="1" si="82"/>
        <v>0.3</v>
      </c>
      <c r="R215" s="1">
        <f t="shared" ca="1" si="83"/>
        <v>-1880.3999999999999</v>
      </c>
      <c r="S215" s="1">
        <f t="shared" ca="1" si="66"/>
        <v>2</v>
      </c>
      <c r="T215" s="19">
        <f t="shared" ca="1" si="67"/>
        <v>-0.12</v>
      </c>
      <c r="U215" s="1" t="str">
        <f t="shared" ca="1" si="68"/>
        <v>High Discount</v>
      </c>
    </row>
    <row r="216" spans="1:21" ht="15.6" customHeight="1" x14ac:dyDescent="0.3">
      <c r="A216" s="1" t="str">
        <f t="shared" si="63"/>
        <v>ORD-215</v>
      </c>
      <c r="B216" s="10">
        <f t="shared" ca="1" si="64"/>
        <v>45424</v>
      </c>
      <c r="C216" s="7">
        <f t="shared" ca="1" si="65"/>
        <v>45429</v>
      </c>
      <c r="D216" s="1" t="str">
        <f t="shared" ca="1" si="69"/>
        <v>Second Class</v>
      </c>
      <c r="E216" s="1" t="str">
        <f t="shared" ca="1" si="70"/>
        <v>CU-976</v>
      </c>
      <c r="F216" s="1" t="str">
        <f t="shared" ca="1" si="71"/>
        <v>Amit Verma</v>
      </c>
      <c r="G216" s="1" t="str">
        <f t="shared" ca="1" si="72"/>
        <v>Home Office</v>
      </c>
      <c r="H216" s="1" t="str">
        <f t="shared" si="73"/>
        <v>India</v>
      </c>
      <c r="I216" s="1" t="str">
        <f t="shared" ca="1" si="74"/>
        <v>South</v>
      </c>
      <c r="J216" s="1" t="str">
        <f t="shared" ca="1" si="75"/>
        <v>Tamil Nadu</v>
      </c>
      <c r="K216" s="1" t="str">
        <f t="shared" ca="1" si="76"/>
        <v>Delhi</v>
      </c>
      <c r="L216" s="1" t="str">
        <f t="shared" ca="1" si="77"/>
        <v>Furniture</v>
      </c>
      <c r="M216" s="1" t="str">
        <f t="shared" ca="1" si="78"/>
        <v>Laptop</v>
      </c>
      <c r="N216" s="1" t="str">
        <f t="shared" ca="1" si="79"/>
        <v>Wireless Mouse</v>
      </c>
      <c r="O216" s="1">
        <f t="shared" ca="1" si="80"/>
        <v>14826</v>
      </c>
      <c r="P216" s="1">
        <f t="shared" ca="1" si="81"/>
        <v>7</v>
      </c>
      <c r="Q216" s="19">
        <f t="shared" ca="1" si="82"/>
        <v>0.3</v>
      </c>
      <c r="R216" s="1">
        <f t="shared" ca="1" si="83"/>
        <v>-1779.12</v>
      </c>
      <c r="S216" s="1">
        <f t="shared" ca="1" si="66"/>
        <v>5</v>
      </c>
      <c r="T216" s="19">
        <f t="shared" ca="1" si="67"/>
        <v>-0.12</v>
      </c>
      <c r="U216" s="1" t="str">
        <f t="shared" ca="1" si="68"/>
        <v>High Discount</v>
      </c>
    </row>
    <row r="217" spans="1:21" ht="15.6" customHeight="1" x14ac:dyDescent="0.3">
      <c r="A217" s="1" t="str">
        <f t="shared" si="63"/>
        <v>ORD-216</v>
      </c>
      <c r="B217" s="10">
        <f t="shared" ca="1" si="64"/>
        <v>45483</v>
      </c>
      <c r="C217" s="7">
        <f t="shared" ca="1" si="65"/>
        <v>45487</v>
      </c>
      <c r="D217" s="1" t="str">
        <f t="shared" ca="1" si="69"/>
        <v>Standard Class</v>
      </c>
      <c r="E217" s="1" t="str">
        <f t="shared" ca="1" si="70"/>
        <v>CU-795</v>
      </c>
      <c r="F217" s="1" t="str">
        <f t="shared" ca="1" si="71"/>
        <v>Pooja Yadav</v>
      </c>
      <c r="G217" s="1" t="str">
        <f t="shared" ca="1" si="72"/>
        <v>Corporate</v>
      </c>
      <c r="H217" s="1" t="str">
        <f t="shared" si="73"/>
        <v>India</v>
      </c>
      <c r="I217" s="1" t="str">
        <f t="shared" ca="1" si="74"/>
        <v>South</v>
      </c>
      <c r="J217" s="1" t="str">
        <f t="shared" ca="1" si="75"/>
        <v>West Bengal</v>
      </c>
      <c r="K217" s="1" t="str">
        <f t="shared" ca="1" si="76"/>
        <v>Chennai</v>
      </c>
      <c r="L217" s="1" t="str">
        <f t="shared" ca="1" si="77"/>
        <v>Technology</v>
      </c>
      <c r="M217" s="1" t="str">
        <f t="shared" ca="1" si="78"/>
        <v>Chair</v>
      </c>
      <c r="N217" s="1" t="str">
        <f t="shared" ca="1" si="79"/>
        <v>Wireless Mouse</v>
      </c>
      <c r="O217" s="1">
        <f t="shared" ca="1" si="80"/>
        <v>41484</v>
      </c>
      <c r="P217" s="1">
        <f t="shared" ca="1" si="81"/>
        <v>5</v>
      </c>
      <c r="Q217" s="19">
        <f t="shared" ca="1" si="82"/>
        <v>0</v>
      </c>
      <c r="R217" s="1">
        <f t="shared" ca="1" si="83"/>
        <v>7467.12</v>
      </c>
      <c r="S217" s="1">
        <f t="shared" ca="1" si="66"/>
        <v>4</v>
      </c>
      <c r="T217" s="19">
        <f t="shared" ca="1" si="67"/>
        <v>0.18</v>
      </c>
      <c r="U217" s="1" t="str">
        <f t="shared" ca="1" si="68"/>
        <v>Low Discount</v>
      </c>
    </row>
    <row r="218" spans="1:21" ht="15.6" customHeight="1" x14ac:dyDescent="0.3">
      <c r="A218" s="1" t="str">
        <f t="shared" si="63"/>
        <v>ORD-217</v>
      </c>
      <c r="B218" s="10">
        <f t="shared" ca="1" si="64"/>
        <v>45479</v>
      </c>
      <c r="C218" s="7">
        <f t="shared" ca="1" si="65"/>
        <v>45481</v>
      </c>
      <c r="D218" s="1" t="str">
        <f t="shared" ca="1" si="69"/>
        <v>Standard Class</v>
      </c>
      <c r="E218" s="1" t="str">
        <f t="shared" ca="1" si="70"/>
        <v>CU-896</v>
      </c>
      <c r="F218" s="1" t="str">
        <f t="shared" ca="1" si="71"/>
        <v>Rahul Sharma</v>
      </c>
      <c r="G218" s="1" t="str">
        <f t="shared" ca="1" si="72"/>
        <v>Home Office</v>
      </c>
      <c r="H218" s="1" t="str">
        <f t="shared" si="73"/>
        <v>India</v>
      </c>
      <c r="I218" s="1" t="str">
        <f t="shared" ca="1" si="74"/>
        <v>North</v>
      </c>
      <c r="J218" s="1" t="str">
        <f t="shared" ca="1" si="75"/>
        <v>Tamil Nadu</v>
      </c>
      <c r="K218" s="1" t="str">
        <f t="shared" ca="1" si="76"/>
        <v>Kolkata</v>
      </c>
      <c r="L218" s="1" t="str">
        <f t="shared" ca="1" si="77"/>
        <v>Technology</v>
      </c>
      <c r="M218" s="1" t="str">
        <f t="shared" ca="1" si="78"/>
        <v>Laptop</v>
      </c>
      <c r="N218" s="1" t="str">
        <f t="shared" ca="1" si="79"/>
        <v>Office Table</v>
      </c>
      <c r="O218" s="1">
        <f t="shared" ca="1" si="80"/>
        <v>50390</v>
      </c>
      <c r="P218" s="1">
        <f t="shared" ca="1" si="81"/>
        <v>3</v>
      </c>
      <c r="Q218" s="19">
        <f t="shared" ca="1" si="82"/>
        <v>0.2</v>
      </c>
      <c r="R218" s="1">
        <f t="shared" ca="1" si="83"/>
        <v>-1007.8000000000009</v>
      </c>
      <c r="S218" s="1">
        <f t="shared" ca="1" si="66"/>
        <v>2</v>
      </c>
      <c r="T218" s="19">
        <f t="shared" ca="1" si="67"/>
        <v>-2.0000000000000018E-2</v>
      </c>
      <c r="U218" s="1" t="str">
        <f t="shared" ca="1" si="68"/>
        <v>High Discount</v>
      </c>
    </row>
    <row r="219" spans="1:21" ht="15.6" customHeight="1" x14ac:dyDescent="0.3">
      <c r="A219" s="1" t="str">
        <f t="shared" si="63"/>
        <v>ORD-218</v>
      </c>
      <c r="B219" s="10">
        <f t="shared" ca="1" si="64"/>
        <v>45615</v>
      </c>
      <c r="C219" s="7">
        <f t="shared" ca="1" si="65"/>
        <v>45620</v>
      </c>
      <c r="D219" s="1" t="str">
        <f t="shared" ca="1" si="69"/>
        <v>Standard Class</v>
      </c>
      <c r="E219" s="1" t="str">
        <f t="shared" ca="1" si="70"/>
        <v>CU-475</v>
      </c>
      <c r="F219" s="1" t="str">
        <f t="shared" ca="1" si="71"/>
        <v>Rahul Sharma</v>
      </c>
      <c r="G219" s="1" t="str">
        <f t="shared" ca="1" si="72"/>
        <v>Home Office</v>
      </c>
      <c r="H219" s="1" t="str">
        <f t="shared" si="73"/>
        <v>India</v>
      </c>
      <c r="I219" s="1" t="str">
        <f t="shared" ca="1" si="74"/>
        <v>South</v>
      </c>
      <c r="J219" s="1" t="str">
        <f t="shared" ca="1" si="75"/>
        <v>Maharashtra</v>
      </c>
      <c r="K219" s="1" t="str">
        <f t="shared" ca="1" si="76"/>
        <v>Kolkata</v>
      </c>
      <c r="L219" s="1" t="str">
        <f t="shared" ca="1" si="77"/>
        <v>Technology</v>
      </c>
      <c r="M219" s="1" t="str">
        <f t="shared" ca="1" si="78"/>
        <v>Mobile</v>
      </c>
      <c r="N219" s="1" t="str">
        <f t="shared" ca="1" si="79"/>
        <v>Office Chair</v>
      </c>
      <c r="O219" s="1">
        <f t="shared" ca="1" si="80"/>
        <v>15582</v>
      </c>
      <c r="P219" s="1">
        <f t="shared" ca="1" si="81"/>
        <v>9</v>
      </c>
      <c r="Q219" s="19">
        <f t="shared" ca="1" si="82"/>
        <v>0.3</v>
      </c>
      <c r="R219" s="1">
        <f t="shared" ca="1" si="83"/>
        <v>-1869.84</v>
      </c>
      <c r="S219" s="1">
        <f t="shared" ca="1" si="66"/>
        <v>5</v>
      </c>
      <c r="T219" s="19">
        <f t="shared" ca="1" si="67"/>
        <v>-0.12</v>
      </c>
      <c r="U219" s="1" t="str">
        <f t="shared" ca="1" si="68"/>
        <v>High Discount</v>
      </c>
    </row>
    <row r="220" spans="1:21" ht="15.6" customHeight="1" x14ac:dyDescent="0.3">
      <c r="A220" s="1" t="str">
        <f t="shared" si="63"/>
        <v>ORD-219</v>
      </c>
      <c r="B220" s="10">
        <f t="shared" ca="1" si="64"/>
        <v>45505</v>
      </c>
      <c r="C220" s="7">
        <f t="shared" ca="1" si="65"/>
        <v>45509</v>
      </c>
      <c r="D220" s="1" t="str">
        <f t="shared" ca="1" si="69"/>
        <v>Same Day</v>
      </c>
      <c r="E220" s="1" t="str">
        <f t="shared" ca="1" si="70"/>
        <v>CU-885</v>
      </c>
      <c r="F220" s="1" t="str">
        <f t="shared" ca="1" si="71"/>
        <v>Arjun Malhotra</v>
      </c>
      <c r="G220" s="1" t="str">
        <f t="shared" ca="1" si="72"/>
        <v>Corporate</v>
      </c>
      <c r="H220" s="1" t="str">
        <f t="shared" si="73"/>
        <v>India</v>
      </c>
      <c r="I220" s="1" t="str">
        <f t="shared" ca="1" si="74"/>
        <v>South</v>
      </c>
      <c r="J220" s="1" t="str">
        <f t="shared" ca="1" si="75"/>
        <v>Karnataka</v>
      </c>
      <c r="K220" s="1" t="str">
        <f t="shared" ca="1" si="76"/>
        <v>Ahmedabad</v>
      </c>
      <c r="L220" s="1" t="str">
        <f t="shared" ca="1" si="77"/>
        <v>Office Supplies</v>
      </c>
      <c r="M220" s="1" t="str">
        <f t="shared" ca="1" si="78"/>
        <v>Laptop</v>
      </c>
      <c r="N220" s="1" t="str">
        <f t="shared" ca="1" si="79"/>
        <v>A4 Paper</v>
      </c>
      <c r="O220" s="1">
        <f t="shared" ca="1" si="80"/>
        <v>9853</v>
      </c>
      <c r="P220" s="1">
        <f t="shared" ca="1" si="81"/>
        <v>10</v>
      </c>
      <c r="Q220" s="19">
        <f t="shared" ca="1" si="82"/>
        <v>0.1</v>
      </c>
      <c r="R220" s="1">
        <f t="shared" ca="1" si="83"/>
        <v>788.2399999999999</v>
      </c>
      <c r="S220" s="1">
        <f t="shared" ca="1" si="66"/>
        <v>4</v>
      </c>
      <c r="T220" s="19">
        <f t="shared" ca="1" si="67"/>
        <v>7.9999999999999988E-2</v>
      </c>
      <c r="U220" s="1" t="str">
        <f t="shared" ca="1" si="68"/>
        <v>Low Discount</v>
      </c>
    </row>
    <row r="221" spans="1:21" ht="15.6" customHeight="1" x14ac:dyDescent="0.3">
      <c r="A221" s="1" t="str">
        <f t="shared" si="63"/>
        <v>ORD-220</v>
      </c>
      <c r="B221" s="10">
        <f t="shared" ca="1" si="64"/>
        <v>45617</v>
      </c>
      <c r="C221" s="7">
        <f t="shared" ca="1" si="65"/>
        <v>45618</v>
      </c>
      <c r="D221" s="1" t="str">
        <f t="shared" ca="1" si="69"/>
        <v>Second Class</v>
      </c>
      <c r="E221" s="1" t="str">
        <f t="shared" ca="1" si="70"/>
        <v>CU-976</v>
      </c>
      <c r="F221" s="1" t="str">
        <f t="shared" ca="1" si="71"/>
        <v>Neha Gupta</v>
      </c>
      <c r="G221" s="1" t="str">
        <f t="shared" ca="1" si="72"/>
        <v>Consumer</v>
      </c>
      <c r="H221" s="1" t="str">
        <f t="shared" si="73"/>
        <v>India</v>
      </c>
      <c r="I221" s="1" t="str">
        <f t="shared" ca="1" si="74"/>
        <v>East</v>
      </c>
      <c r="J221" s="1" t="str">
        <f t="shared" ca="1" si="75"/>
        <v>Delhi</v>
      </c>
      <c r="K221" s="1" t="str">
        <f t="shared" ca="1" si="76"/>
        <v>Delhi</v>
      </c>
      <c r="L221" s="1" t="str">
        <f t="shared" ca="1" si="77"/>
        <v>Furniture</v>
      </c>
      <c r="M221" s="1" t="str">
        <f t="shared" ca="1" si="78"/>
        <v>Table</v>
      </c>
      <c r="N221" s="1" t="str">
        <f t="shared" ca="1" si="79"/>
        <v>Office Chair</v>
      </c>
      <c r="O221" s="1">
        <f t="shared" ca="1" si="80"/>
        <v>29280</v>
      </c>
      <c r="P221" s="1">
        <f t="shared" ca="1" si="81"/>
        <v>6</v>
      </c>
      <c r="Q221" s="19">
        <f t="shared" ca="1" si="82"/>
        <v>0.05</v>
      </c>
      <c r="R221" s="1">
        <f t="shared" ca="1" si="83"/>
        <v>3806.4</v>
      </c>
      <c r="S221" s="1">
        <f t="shared" ca="1" si="66"/>
        <v>1</v>
      </c>
      <c r="T221" s="19">
        <f t="shared" ca="1" si="67"/>
        <v>0.13</v>
      </c>
      <c r="U221" s="1" t="str">
        <f t="shared" ca="1" si="68"/>
        <v>Low Discount</v>
      </c>
    </row>
    <row r="222" spans="1:21" ht="15.6" customHeight="1" x14ac:dyDescent="0.3">
      <c r="A222" s="1" t="str">
        <f t="shared" si="63"/>
        <v>ORD-221</v>
      </c>
      <c r="B222" s="10">
        <f t="shared" ca="1" si="64"/>
        <v>45507</v>
      </c>
      <c r="C222" s="7">
        <f t="shared" ca="1" si="65"/>
        <v>45509</v>
      </c>
      <c r="D222" s="1" t="str">
        <f t="shared" ca="1" si="69"/>
        <v>Second Class</v>
      </c>
      <c r="E222" s="1" t="str">
        <f t="shared" ca="1" si="70"/>
        <v>CU-402</v>
      </c>
      <c r="F222" s="1" t="str">
        <f t="shared" ca="1" si="71"/>
        <v>Sunil Kumar</v>
      </c>
      <c r="G222" s="1" t="str">
        <f t="shared" ca="1" si="72"/>
        <v>Consumer</v>
      </c>
      <c r="H222" s="1" t="str">
        <f t="shared" si="73"/>
        <v>India</v>
      </c>
      <c r="I222" s="1" t="str">
        <f t="shared" ca="1" si="74"/>
        <v>East</v>
      </c>
      <c r="J222" s="1" t="str">
        <f t="shared" ca="1" si="75"/>
        <v>Karnataka</v>
      </c>
      <c r="K222" s="1" t="str">
        <f t="shared" ca="1" si="76"/>
        <v>Ahmedabad</v>
      </c>
      <c r="L222" s="1" t="str">
        <f t="shared" ca="1" si="77"/>
        <v>Furniture</v>
      </c>
      <c r="M222" s="1" t="str">
        <f t="shared" ca="1" si="78"/>
        <v>Paper</v>
      </c>
      <c r="N222" s="1" t="str">
        <f t="shared" ca="1" si="79"/>
        <v>Wireless Mouse</v>
      </c>
      <c r="O222" s="1">
        <f t="shared" ca="1" si="80"/>
        <v>54688</v>
      </c>
      <c r="P222" s="1">
        <f t="shared" ca="1" si="81"/>
        <v>2</v>
      </c>
      <c r="Q222" s="19">
        <f t="shared" ca="1" si="82"/>
        <v>0.05</v>
      </c>
      <c r="R222" s="1">
        <f t="shared" ca="1" si="83"/>
        <v>7109.4400000000005</v>
      </c>
      <c r="S222" s="1">
        <f t="shared" ca="1" si="66"/>
        <v>2</v>
      </c>
      <c r="T222" s="19">
        <f t="shared" ca="1" si="67"/>
        <v>0.13</v>
      </c>
      <c r="U222" s="1" t="str">
        <f t="shared" ca="1" si="68"/>
        <v>Low Discount</v>
      </c>
    </row>
    <row r="223" spans="1:21" ht="15.6" customHeight="1" x14ac:dyDescent="0.3">
      <c r="A223" s="1" t="str">
        <f t="shared" si="63"/>
        <v>ORD-222</v>
      </c>
      <c r="B223" s="10">
        <f t="shared" ca="1" si="64"/>
        <v>45332</v>
      </c>
      <c r="C223" s="7">
        <f t="shared" ca="1" si="65"/>
        <v>45333</v>
      </c>
      <c r="D223" s="1" t="str">
        <f t="shared" ca="1" si="69"/>
        <v>Second Class</v>
      </c>
      <c r="E223" s="1" t="str">
        <f t="shared" ca="1" si="70"/>
        <v>CU-756</v>
      </c>
      <c r="F223" s="1" t="str">
        <f t="shared" ca="1" si="71"/>
        <v>Neha Gupta</v>
      </c>
      <c r="G223" s="1" t="str">
        <f t="shared" ca="1" si="72"/>
        <v>Corporate</v>
      </c>
      <c r="H223" s="1" t="str">
        <f t="shared" si="73"/>
        <v>India</v>
      </c>
      <c r="I223" s="1" t="str">
        <f t="shared" ca="1" si="74"/>
        <v>West</v>
      </c>
      <c r="J223" s="1" t="str">
        <f t="shared" ca="1" si="75"/>
        <v>Karnataka</v>
      </c>
      <c r="K223" s="1" t="str">
        <f t="shared" ca="1" si="76"/>
        <v>Chennai</v>
      </c>
      <c r="L223" s="1" t="str">
        <f t="shared" ca="1" si="77"/>
        <v>Office Supplies</v>
      </c>
      <c r="M223" s="1" t="str">
        <f t="shared" ca="1" si="78"/>
        <v>Paper</v>
      </c>
      <c r="N223" s="1" t="str">
        <f t="shared" ca="1" si="79"/>
        <v>A4 Paper</v>
      </c>
      <c r="O223" s="1">
        <f t="shared" ca="1" si="80"/>
        <v>13181</v>
      </c>
      <c r="P223" s="1">
        <f t="shared" ca="1" si="81"/>
        <v>6</v>
      </c>
      <c r="Q223" s="19">
        <f t="shared" ca="1" si="82"/>
        <v>0.05</v>
      </c>
      <c r="R223" s="1">
        <f t="shared" ca="1" si="83"/>
        <v>1713.53</v>
      </c>
      <c r="S223" s="1">
        <f t="shared" ca="1" si="66"/>
        <v>1</v>
      </c>
      <c r="T223" s="19">
        <f t="shared" ca="1" si="67"/>
        <v>0.13</v>
      </c>
      <c r="U223" s="1" t="str">
        <f t="shared" ca="1" si="68"/>
        <v>Low Discount</v>
      </c>
    </row>
    <row r="224" spans="1:21" ht="15.6" customHeight="1" x14ac:dyDescent="0.3">
      <c r="A224" s="1" t="str">
        <f t="shared" si="63"/>
        <v>ORD-223</v>
      </c>
      <c r="B224" s="10">
        <f t="shared" ca="1" si="64"/>
        <v>45608</v>
      </c>
      <c r="C224" s="7">
        <f t="shared" ca="1" si="65"/>
        <v>45612</v>
      </c>
      <c r="D224" s="1" t="str">
        <f t="shared" ca="1" si="69"/>
        <v>Same Day</v>
      </c>
      <c r="E224" s="1" t="str">
        <f t="shared" ca="1" si="70"/>
        <v>CU-921</v>
      </c>
      <c r="F224" s="1" t="str">
        <f t="shared" ca="1" si="71"/>
        <v>Neha Gupta</v>
      </c>
      <c r="G224" s="1" t="str">
        <f t="shared" ca="1" si="72"/>
        <v>Consumer</v>
      </c>
      <c r="H224" s="1" t="str">
        <f t="shared" si="73"/>
        <v>India</v>
      </c>
      <c r="I224" s="1" t="str">
        <f t="shared" ca="1" si="74"/>
        <v>West</v>
      </c>
      <c r="J224" s="1" t="str">
        <f t="shared" ca="1" si="75"/>
        <v>Karnataka</v>
      </c>
      <c r="K224" s="1" t="str">
        <f t="shared" ca="1" si="76"/>
        <v>Kolkata</v>
      </c>
      <c r="L224" s="1" t="str">
        <f t="shared" ca="1" si="77"/>
        <v>Office Supplies</v>
      </c>
      <c r="M224" s="1" t="str">
        <f t="shared" ca="1" si="78"/>
        <v>Table</v>
      </c>
      <c r="N224" s="1" t="str">
        <f t="shared" ca="1" si="79"/>
        <v>Office Chair</v>
      </c>
      <c r="O224" s="1">
        <f t="shared" ca="1" si="80"/>
        <v>30750</v>
      </c>
      <c r="P224" s="1">
        <f t="shared" ca="1" si="81"/>
        <v>3</v>
      </c>
      <c r="Q224" s="19">
        <f t="shared" ca="1" si="82"/>
        <v>0.1</v>
      </c>
      <c r="R224" s="1">
        <f t="shared" ca="1" si="83"/>
        <v>2459.9999999999995</v>
      </c>
      <c r="S224" s="1">
        <f t="shared" ca="1" si="66"/>
        <v>4</v>
      </c>
      <c r="T224" s="19">
        <f t="shared" ca="1" si="67"/>
        <v>7.9999999999999988E-2</v>
      </c>
      <c r="U224" s="1" t="str">
        <f t="shared" ca="1" si="68"/>
        <v>Low Discount</v>
      </c>
    </row>
    <row r="225" spans="1:21" ht="15.6" customHeight="1" x14ac:dyDescent="0.3">
      <c r="A225" s="1" t="str">
        <f t="shared" si="63"/>
        <v>ORD-224</v>
      </c>
      <c r="B225" s="10">
        <f t="shared" ca="1" si="64"/>
        <v>45389</v>
      </c>
      <c r="C225" s="7">
        <f t="shared" ca="1" si="65"/>
        <v>45390</v>
      </c>
      <c r="D225" s="1" t="str">
        <f t="shared" ca="1" si="69"/>
        <v>Second Class</v>
      </c>
      <c r="E225" s="1" t="str">
        <f t="shared" ca="1" si="70"/>
        <v>CU-657</v>
      </c>
      <c r="F225" s="1" t="str">
        <f t="shared" ca="1" si="71"/>
        <v>Rahul Sharma</v>
      </c>
      <c r="G225" s="1" t="str">
        <f t="shared" ca="1" si="72"/>
        <v>Home Office</v>
      </c>
      <c r="H225" s="1" t="str">
        <f t="shared" si="73"/>
        <v>India</v>
      </c>
      <c r="I225" s="1" t="str">
        <f t="shared" ca="1" si="74"/>
        <v>South</v>
      </c>
      <c r="J225" s="1" t="str">
        <f t="shared" ca="1" si="75"/>
        <v>Gujarat</v>
      </c>
      <c r="K225" s="1" t="str">
        <f t="shared" ca="1" si="76"/>
        <v>Delhi</v>
      </c>
      <c r="L225" s="1" t="str">
        <f t="shared" ca="1" si="77"/>
        <v>Technology</v>
      </c>
      <c r="M225" s="1" t="str">
        <f t="shared" ca="1" si="78"/>
        <v>Laptop</v>
      </c>
      <c r="N225" s="1" t="str">
        <f t="shared" ca="1" si="79"/>
        <v>A4 Paper</v>
      </c>
      <c r="O225" s="1">
        <f t="shared" ca="1" si="80"/>
        <v>43668</v>
      </c>
      <c r="P225" s="1">
        <f t="shared" ca="1" si="81"/>
        <v>10</v>
      </c>
      <c r="Q225" s="19">
        <f t="shared" ca="1" si="82"/>
        <v>0.1</v>
      </c>
      <c r="R225" s="1">
        <f t="shared" ca="1" si="83"/>
        <v>3493.4399999999996</v>
      </c>
      <c r="S225" s="1">
        <f t="shared" ca="1" si="66"/>
        <v>1</v>
      </c>
      <c r="T225" s="19">
        <f t="shared" ca="1" si="67"/>
        <v>7.9999999999999988E-2</v>
      </c>
      <c r="U225" s="1" t="str">
        <f t="shared" ca="1" si="68"/>
        <v>Low Discount</v>
      </c>
    </row>
    <row r="226" spans="1:21" ht="15.6" customHeight="1" x14ac:dyDescent="0.3">
      <c r="A226" s="1" t="str">
        <f t="shared" si="63"/>
        <v>ORD-225</v>
      </c>
      <c r="B226" s="10">
        <f t="shared" ca="1" si="64"/>
        <v>45627</v>
      </c>
      <c r="C226" s="7">
        <f t="shared" ca="1" si="65"/>
        <v>45632</v>
      </c>
      <c r="D226" s="1" t="str">
        <f t="shared" ca="1" si="69"/>
        <v>Standard Class</v>
      </c>
      <c r="E226" s="1" t="str">
        <f t="shared" ca="1" si="70"/>
        <v>CU-293</v>
      </c>
      <c r="F226" s="1" t="str">
        <f t="shared" ca="1" si="71"/>
        <v>Sunil Kumar</v>
      </c>
      <c r="G226" s="1" t="str">
        <f t="shared" ca="1" si="72"/>
        <v>Corporate</v>
      </c>
      <c r="H226" s="1" t="str">
        <f t="shared" si="73"/>
        <v>India</v>
      </c>
      <c r="I226" s="1" t="str">
        <f t="shared" ca="1" si="74"/>
        <v>West</v>
      </c>
      <c r="J226" s="1" t="str">
        <f t="shared" ca="1" si="75"/>
        <v>Maharashtra</v>
      </c>
      <c r="K226" s="1" t="str">
        <f t="shared" ca="1" si="76"/>
        <v>Kolkata</v>
      </c>
      <c r="L226" s="1" t="str">
        <f t="shared" ca="1" si="77"/>
        <v>Technology</v>
      </c>
      <c r="M226" s="1" t="str">
        <f t="shared" ca="1" si="78"/>
        <v>Chair</v>
      </c>
      <c r="N226" s="1" t="str">
        <f t="shared" ca="1" si="79"/>
        <v>Office Chair</v>
      </c>
      <c r="O226" s="1">
        <f t="shared" ca="1" si="80"/>
        <v>25958</v>
      </c>
      <c r="P226" s="1">
        <f t="shared" ca="1" si="81"/>
        <v>10</v>
      </c>
      <c r="Q226" s="19">
        <f t="shared" ca="1" si="82"/>
        <v>0.2</v>
      </c>
      <c r="R226" s="1">
        <f t="shared" ca="1" si="83"/>
        <v>-519.16000000000042</v>
      </c>
      <c r="S226" s="1">
        <f t="shared" ca="1" si="66"/>
        <v>5</v>
      </c>
      <c r="T226" s="19">
        <f t="shared" ca="1" si="67"/>
        <v>-2.0000000000000018E-2</v>
      </c>
      <c r="U226" s="1" t="str">
        <f t="shared" ca="1" si="68"/>
        <v>High Discount</v>
      </c>
    </row>
    <row r="227" spans="1:21" ht="15.6" customHeight="1" x14ac:dyDescent="0.3">
      <c r="A227" s="1" t="str">
        <f t="shared" si="63"/>
        <v>ORD-226</v>
      </c>
      <c r="B227" s="10">
        <f t="shared" ca="1" si="64"/>
        <v>45642</v>
      </c>
      <c r="C227" s="7">
        <f t="shared" ca="1" si="65"/>
        <v>45645</v>
      </c>
      <c r="D227" s="1" t="str">
        <f t="shared" ca="1" si="69"/>
        <v>Standard Class</v>
      </c>
      <c r="E227" s="1" t="str">
        <f t="shared" ca="1" si="70"/>
        <v>CU-218</v>
      </c>
      <c r="F227" s="1" t="str">
        <f t="shared" ca="1" si="71"/>
        <v>Rahul Sharma</v>
      </c>
      <c r="G227" s="1" t="str">
        <f t="shared" ca="1" si="72"/>
        <v>Consumer</v>
      </c>
      <c r="H227" s="1" t="str">
        <f t="shared" si="73"/>
        <v>India</v>
      </c>
      <c r="I227" s="1" t="str">
        <f t="shared" ca="1" si="74"/>
        <v>South</v>
      </c>
      <c r="J227" s="1" t="str">
        <f t="shared" ca="1" si="75"/>
        <v>Maharashtra</v>
      </c>
      <c r="K227" s="1" t="str">
        <f t="shared" ca="1" si="76"/>
        <v>Mumbai</v>
      </c>
      <c r="L227" s="1" t="str">
        <f t="shared" ca="1" si="77"/>
        <v>Furniture</v>
      </c>
      <c r="M227" s="1" t="str">
        <f t="shared" ca="1" si="78"/>
        <v>Table</v>
      </c>
      <c r="N227" s="1" t="str">
        <f t="shared" ca="1" si="79"/>
        <v>A4 Paper</v>
      </c>
      <c r="O227" s="1">
        <f t="shared" ca="1" si="80"/>
        <v>39451</v>
      </c>
      <c r="P227" s="1">
        <f t="shared" ca="1" si="81"/>
        <v>7</v>
      </c>
      <c r="Q227" s="19">
        <f t="shared" ca="1" si="82"/>
        <v>0.05</v>
      </c>
      <c r="R227" s="1">
        <f t="shared" ca="1" si="83"/>
        <v>5128.63</v>
      </c>
      <c r="S227" s="1">
        <f t="shared" ca="1" si="66"/>
        <v>3</v>
      </c>
      <c r="T227" s="19">
        <f t="shared" ca="1" si="67"/>
        <v>0.13</v>
      </c>
      <c r="U227" s="1" t="str">
        <f t="shared" ca="1" si="68"/>
        <v>Low Discount</v>
      </c>
    </row>
    <row r="228" spans="1:21" ht="15.6" customHeight="1" x14ac:dyDescent="0.3">
      <c r="A228" s="1" t="str">
        <f t="shared" si="63"/>
        <v>ORD-227</v>
      </c>
      <c r="B228" s="10">
        <f t="shared" ca="1" si="64"/>
        <v>45376</v>
      </c>
      <c r="C228" s="7">
        <f t="shared" ca="1" si="65"/>
        <v>45380</v>
      </c>
      <c r="D228" s="1" t="str">
        <f t="shared" ca="1" si="69"/>
        <v>Same Day</v>
      </c>
      <c r="E228" s="1" t="str">
        <f t="shared" ca="1" si="70"/>
        <v>CU-849</v>
      </c>
      <c r="F228" s="1" t="str">
        <f t="shared" ca="1" si="71"/>
        <v>Neha Gupta</v>
      </c>
      <c r="G228" s="1" t="str">
        <f t="shared" ca="1" si="72"/>
        <v>Consumer</v>
      </c>
      <c r="H228" s="1" t="str">
        <f t="shared" si="73"/>
        <v>India</v>
      </c>
      <c r="I228" s="1" t="str">
        <f t="shared" ca="1" si="74"/>
        <v>North</v>
      </c>
      <c r="J228" s="1" t="str">
        <f t="shared" ca="1" si="75"/>
        <v>West Bengal</v>
      </c>
      <c r="K228" s="1" t="str">
        <f t="shared" ca="1" si="76"/>
        <v>Ahmedabad</v>
      </c>
      <c r="L228" s="1" t="str">
        <f t="shared" ca="1" si="77"/>
        <v>Furniture</v>
      </c>
      <c r="M228" s="1" t="str">
        <f t="shared" ca="1" si="78"/>
        <v>Paper</v>
      </c>
      <c r="N228" s="1" t="str">
        <f t="shared" ca="1" si="79"/>
        <v>Office Table</v>
      </c>
      <c r="O228" s="1">
        <f t="shared" ca="1" si="80"/>
        <v>31547</v>
      </c>
      <c r="P228" s="1">
        <f t="shared" ca="1" si="81"/>
        <v>7</v>
      </c>
      <c r="Q228" s="19">
        <f t="shared" ca="1" si="82"/>
        <v>0</v>
      </c>
      <c r="R228" s="1">
        <f t="shared" ca="1" si="83"/>
        <v>5678.46</v>
      </c>
      <c r="S228" s="1">
        <f t="shared" ca="1" si="66"/>
        <v>4</v>
      </c>
      <c r="T228" s="19">
        <f t="shared" ca="1" si="67"/>
        <v>0.18</v>
      </c>
      <c r="U228" s="1" t="str">
        <f t="shared" ca="1" si="68"/>
        <v>Low Discount</v>
      </c>
    </row>
    <row r="229" spans="1:21" ht="15.6" customHeight="1" x14ac:dyDescent="0.3">
      <c r="A229" s="1" t="str">
        <f t="shared" si="63"/>
        <v>ORD-228</v>
      </c>
      <c r="B229" s="10">
        <f t="shared" ca="1" si="64"/>
        <v>45442</v>
      </c>
      <c r="C229" s="7">
        <f t="shared" ca="1" si="65"/>
        <v>45446</v>
      </c>
      <c r="D229" s="1" t="str">
        <f t="shared" ca="1" si="69"/>
        <v>Second Class</v>
      </c>
      <c r="E229" s="1" t="str">
        <f t="shared" ca="1" si="70"/>
        <v>CU-910</v>
      </c>
      <c r="F229" s="1" t="str">
        <f t="shared" ca="1" si="71"/>
        <v>Neha Gupta</v>
      </c>
      <c r="G229" s="1" t="str">
        <f t="shared" ca="1" si="72"/>
        <v>Corporate</v>
      </c>
      <c r="H229" s="1" t="str">
        <f t="shared" si="73"/>
        <v>India</v>
      </c>
      <c r="I229" s="1" t="str">
        <f t="shared" ca="1" si="74"/>
        <v>South</v>
      </c>
      <c r="J229" s="1" t="str">
        <f t="shared" ca="1" si="75"/>
        <v>West Bengal</v>
      </c>
      <c r="K229" s="1" t="str">
        <f t="shared" ca="1" si="76"/>
        <v>Ahmedabad</v>
      </c>
      <c r="L229" s="1" t="str">
        <f t="shared" ca="1" si="77"/>
        <v>Furniture</v>
      </c>
      <c r="M229" s="1" t="str">
        <f t="shared" ca="1" si="78"/>
        <v>Chair</v>
      </c>
      <c r="N229" s="1" t="str">
        <f t="shared" ca="1" si="79"/>
        <v>A4 Paper</v>
      </c>
      <c r="O229" s="1">
        <f t="shared" ca="1" si="80"/>
        <v>4813</v>
      </c>
      <c r="P229" s="1">
        <f t="shared" ca="1" si="81"/>
        <v>5</v>
      </c>
      <c r="Q229" s="19">
        <f t="shared" ca="1" si="82"/>
        <v>0.05</v>
      </c>
      <c r="R229" s="1">
        <f t="shared" ca="1" si="83"/>
        <v>625.69000000000005</v>
      </c>
      <c r="S229" s="1">
        <f t="shared" ca="1" si="66"/>
        <v>4</v>
      </c>
      <c r="T229" s="19">
        <f t="shared" ca="1" si="67"/>
        <v>0.13</v>
      </c>
      <c r="U229" s="1" t="str">
        <f t="shared" ca="1" si="68"/>
        <v>Low Discount</v>
      </c>
    </row>
    <row r="230" spans="1:21" ht="15.6" customHeight="1" x14ac:dyDescent="0.3">
      <c r="A230" s="1" t="str">
        <f t="shared" si="63"/>
        <v>ORD-229</v>
      </c>
      <c r="B230" s="10">
        <f t="shared" ca="1" si="64"/>
        <v>45617</v>
      </c>
      <c r="C230" s="7">
        <f t="shared" ca="1" si="65"/>
        <v>45618</v>
      </c>
      <c r="D230" s="1" t="str">
        <f t="shared" ca="1" si="69"/>
        <v>Same Day</v>
      </c>
      <c r="E230" s="1" t="str">
        <f t="shared" ca="1" si="70"/>
        <v>CU-796</v>
      </c>
      <c r="F230" s="1" t="str">
        <f t="shared" ca="1" si="71"/>
        <v>Ravi Mehta</v>
      </c>
      <c r="G230" s="1" t="str">
        <f t="shared" ca="1" si="72"/>
        <v>Consumer</v>
      </c>
      <c r="H230" s="1" t="str">
        <f t="shared" si="73"/>
        <v>India</v>
      </c>
      <c r="I230" s="1" t="str">
        <f t="shared" ca="1" si="74"/>
        <v>North</v>
      </c>
      <c r="J230" s="1" t="str">
        <f t="shared" ca="1" si="75"/>
        <v>Delhi</v>
      </c>
      <c r="K230" s="1" t="str">
        <f t="shared" ca="1" si="76"/>
        <v>Chennai</v>
      </c>
      <c r="L230" s="1" t="str">
        <f t="shared" ca="1" si="77"/>
        <v>Office Supplies</v>
      </c>
      <c r="M230" s="1" t="str">
        <f t="shared" ca="1" si="78"/>
        <v>Chair</v>
      </c>
      <c r="N230" s="1" t="str">
        <f t="shared" ca="1" si="79"/>
        <v>Office Table</v>
      </c>
      <c r="O230" s="1">
        <f t="shared" ca="1" si="80"/>
        <v>45158</v>
      </c>
      <c r="P230" s="1">
        <f t="shared" ca="1" si="81"/>
        <v>8</v>
      </c>
      <c r="Q230" s="19">
        <f t="shared" ca="1" si="82"/>
        <v>0.2</v>
      </c>
      <c r="R230" s="1">
        <f t="shared" ca="1" si="83"/>
        <v>-903.16000000000076</v>
      </c>
      <c r="S230" s="1">
        <f t="shared" ca="1" si="66"/>
        <v>1</v>
      </c>
      <c r="T230" s="19">
        <f t="shared" ca="1" si="67"/>
        <v>-2.0000000000000018E-2</v>
      </c>
      <c r="U230" s="1" t="str">
        <f t="shared" ca="1" si="68"/>
        <v>High Discount</v>
      </c>
    </row>
    <row r="231" spans="1:21" ht="15.6" customHeight="1" x14ac:dyDescent="0.3">
      <c r="A231" s="1" t="str">
        <f t="shared" si="63"/>
        <v>ORD-230</v>
      </c>
      <c r="B231" s="10">
        <f t="shared" ca="1" si="64"/>
        <v>45399</v>
      </c>
      <c r="C231" s="7">
        <f t="shared" ca="1" si="65"/>
        <v>45402</v>
      </c>
      <c r="D231" s="1" t="str">
        <f t="shared" ca="1" si="69"/>
        <v>Standard Class</v>
      </c>
      <c r="E231" s="1" t="str">
        <f t="shared" ca="1" si="70"/>
        <v>CU-192</v>
      </c>
      <c r="F231" s="1" t="str">
        <f t="shared" ca="1" si="71"/>
        <v>Arjun Malhotra</v>
      </c>
      <c r="G231" s="1" t="str">
        <f t="shared" ca="1" si="72"/>
        <v>Corporate</v>
      </c>
      <c r="H231" s="1" t="str">
        <f t="shared" si="73"/>
        <v>India</v>
      </c>
      <c r="I231" s="1" t="str">
        <f t="shared" ca="1" si="74"/>
        <v>East</v>
      </c>
      <c r="J231" s="1" t="str">
        <f t="shared" ca="1" si="75"/>
        <v>Gujarat</v>
      </c>
      <c r="K231" s="1" t="str">
        <f t="shared" ca="1" si="76"/>
        <v>Bangalore</v>
      </c>
      <c r="L231" s="1" t="str">
        <f t="shared" ca="1" si="77"/>
        <v>Technology</v>
      </c>
      <c r="M231" s="1" t="str">
        <f t="shared" ca="1" si="78"/>
        <v>Table</v>
      </c>
      <c r="N231" s="1" t="str">
        <f t="shared" ca="1" si="79"/>
        <v>A4 Paper</v>
      </c>
      <c r="O231" s="1">
        <f t="shared" ca="1" si="80"/>
        <v>21021</v>
      </c>
      <c r="P231" s="1">
        <f t="shared" ca="1" si="81"/>
        <v>10</v>
      </c>
      <c r="Q231" s="19">
        <f t="shared" ca="1" si="82"/>
        <v>0.2</v>
      </c>
      <c r="R231" s="1">
        <f t="shared" ca="1" si="83"/>
        <v>-420.42000000000036</v>
      </c>
      <c r="S231" s="1">
        <f t="shared" ca="1" si="66"/>
        <v>3</v>
      </c>
      <c r="T231" s="19">
        <f t="shared" ca="1" si="67"/>
        <v>-2.0000000000000018E-2</v>
      </c>
      <c r="U231" s="1" t="str">
        <f t="shared" ca="1" si="68"/>
        <v>High Discount</v>
      </c>
    </row>
    <row r="232" spans="1:21" ht="15.6" customHeight="1" x14ac:dyDescent="0.3">
      <c r="A232" s="1" t="str">
        <f t="shared" si="63"/>
        <v>ORD-231</v>
      </c>
      <c r="B232" s="10">
        <f t="shared" ca="1" si="64"/>
        <v>45498</v>
      </c>
      <c r="C232" s="7">
        <f t="shared" ca="1" si="65"/>
        <v>45503</v>
      </c>
      <c r="D232" s="1" t="str">
        <f t="shared" ca="1" si="69"/>
        <v>Standard Class</v>
      </c>
      <c r="E232" s="1" t="str">
        <f t="shared" ca="1" si="70"/>
        <v>CU-388</v>
      </c>
      <c r="F232" s="1" t="str">
        <f t="shared" ca="1" si="71"/>
        <v>Neha Gupta</v>
      </c>
      <c r="G232" s="1" t="str">
        <f t="shared" ca="1" si="72"/>
        <v>Home Office</v>
      </c>
      <c r="H232" s="1" t="str">
        <f t="shared" si="73"/>
        <v>India</v>
      </c>
      <c r="I232" s="1" t="str">
        <f t="shared" ca="1" si="74"/>
        <v>South</v>
      </c>
      <c r="J232" s="1" t="str">
        <f t="shared" ca="1" si="75"/>
        <v>West Bengal</v>
      </c>
      <c r="K232" s="1" t="str">
        <f t="shared" ca="1" si="76"/>
        <v>Chennai</v>
      </c>
      <c r="L232" s="1" t="str">
        <f t="shared" ca="1" si="77"/>
        <v>Technology</v>
      </c>
      <c r="M232" s="1" t="str">
        <f t="shared" ca="1" si="78"/>
        <v>Table</v>
      </c>
      <c r="N232" s="1" t="str">
        <f t="shared" ca="1" si="79"/>
        <v>Office Table</v>
      </c>
      <c r="O232" s="1">
        <f t="shared" ca="1" si="80"/>
        <v>23056</v>
      </c>
      <c r="P232" s="1">
        <f t="shared" ca="1" si="81"/>
        <v>2</v>
      </c>
      <c r="Q232" s="19">
        <f t="shared" ca="1" si="82"/>
        <v>0.2</v>
      </c>
      <c r="R232" s="1">
        <f t="shared" ca="1" si="83"/>
        <v>-461.1200000000004</v>
      </c>
      <c r="S232" s="1">
        <f t="shared" ca="1" si="66"/>
        <v>5</v>
      </c>
      <c r="T232" s="19">
        <f t="shared" ca="1" si="67"/>
        <v>-2.0000000000000018E-2</v>
      </c>
      <c r="U232" s="1" t="str">
        <f t="shared" ca="1" si="68"/>
        <v>High Discount</v>
      </c>
    </row>
    <row r="233" spans="1:21" ht="15.6" customHeight="1" x14ac:dyDescent="0.3">
      <c r="A233" s="1" t="str">
        <f t="shared" si="63"/>
        <v>ORD-232</v>
      </c>
      <c r="B233" s="10">
        <f t="shared" ca="1" si="64"/>
        <v>45579</v>
      </c>
      <c r="C233" s="7">
        <f t="shared" ca="1" si="65"/>
        <v>45582</v>
      </c>
      <c r="D233" s="1" t="str">
        <f t="shared" ca="1" si="69"/>
        <v>Standard Class</v>
      </c>
      <c r="E233" s="1" t="str">
        <f t="shared" ca="1" si="70"/>
        <v>CU-829</v>
      </c>
      <c r="F233" s="1" t="str">
        <f t="shared" ca="1" si="71"/>
        <v>Arjun Malhotra</v>
      </c>
      <c r="G233" s="1" t="str">
        <f t="shared" ca="1" si="72"/>
        <v>Home Office</v>
      </c>
      <c r="H233" s="1" t="str">
        <f t="shared" si="73"/>
        <v>India</v>
      </c>
      <c r="I233" s="1" t="str">
        <f t="shared" ca="1" si="74"/>
        <v>South</v>
      </c>
      <c r="J233" s="1" t="str">
        <f t="shared" ca="1" si="75"/>
        <v>Tamil Nadu</v>
      </c>
      <c r="K233" s="1" t="str">
        <f t="shared" ca="1" si="76"/>
        <v>Kolkata</v>
      </c>
      <c r="L233" s="1" t="str">
        <f t="shared" ca="1" si="77"/>
        <v>Office Supplies</v>
      </c>
      <c r="M233" s="1" t="str">
        <f t="shared" ca="1" si="78"/>
        <v>Laptop</v>
      </c>
      <c r="N233" s="1" t="str">
        <f t="shared" ca="1" si="79"/>
        <v>Samsung Galaxy</v>
      </c>
      <c r="O233" s="1">
        <f t="shared" ca="1" si="80"/>
        <v>18240</v>
      </c>
      <c r="P233" s="1">
        <f t="shared" ca="1" si="81"/>
        <v>3</v>
      </c>
      <c r="Q233" s="19">
        <f t="shared" ca="1" si="82"/>
        <v>0.2</v>
      </c>
      <c r="R233" s="1">
        <f t="shared" ca="1" si="83"/>
        <v>-364.8000000000003</v>
      </c>
      <c r="S233" s="1">
        <f t="shared" ca="1" si="66"/>
        <v>3</v>
      </c>
      <c r="T233" s="19">
        <f t="shared" ca="1" si="67"/>
        <v>-2.0000000000000018E-2</v>
      </c>
      <c r="U233" s="1" t="str">
        <f t="shared" ca="1" si="68"/>
        <v>High Discount</v>
      </c>
    </row>
    <row r="234" spans="1:21" ht="15.6" customHeight="1" x14ac:dyDescent="0.3">
      <c r="A234" s="1" t="str">
        <f t="shared" si="63"/>
        <v>ORD-233</v>
      </c>
      <c r="B234" s="10">
        <f t="shared" ca="1" si="64"/>
        <v>45343</v>
      </c>
      <c r="C234" s="7">
        <f t="shared" ca="1" si="65"/>
        <v>45343</v>
      </c>
      <c r="D234" s="1" t="str">
        <f t="shared" ca="1" si="69"/>
        <v>Same Day</v>
      </c>
      <c r="E234" s="1" t="str">
        <f t="shared" ca="1" si="70"/>
        <v>CU-226</v>
      </c>
      <c r="F234" s="1" t="str">
        <f t="shared" ca="1" si="71"/>
        <v>Neha Gupta</v>
      </c>
      <c r="G234" s="1" t="str">
        <f t="shared" ca="1" si="72"/>
        <v>Home Office</v>
      </c>
      <c r="H234" s="1" t="str">
        <f t="shared" si="73"/>
        <v>India</v>
      </c>
      <c r="I234" s="1" t="str">
        <f t="shared" ca="1" si="74"/>
        <v>West</v>
      </c>
      <c r="J234" s="1" t="str">
        <f t="shared" ca="1" si="75"/>
        <v>Gujarat</v>
      </c>
      <c r="K234" s="1" t="str">
        <f t="shared" ca="1" si="76"/>
        <v>Delhi</v>
      </c>
      <c r="L234" s="1" t="str">
        <f t="shared" ca="1" si="77"/>
        <v>Furniture</v>
      </c>
      <c r="M234" s="1" t="str">
        <f t="shared" ca="1" si="78"/>
        <v>Paper</v>
      </c>
      <c r="N234" s="1" t="str">
        <f t="shared" ca="1" si="79"/>
        <v>Wireless Mouse</v>
      </c>
      <c r="O234" s="1">
        <f t="shared" ca="1" si="80"/>
        <v>32925</v>
      </c>
      <c r="P234" s="1">
        <f t="shared" ca="1" si="81"/>
        <v>8</v>
      </c>
      <c r="Q234" s="19">
        <f t="shared" ca="1" si="82"/>
        <v>0.05</v>
      </c>
      <c r="R234" s="1">
        <f t="shared" ca="1" si="83"/>
        <v>4280.25</v>
      </c>
      <c r="S234" s="1">
        <f t="shared" ca="1" si="66"/>
        <v>0</v>
      </c>
      <c r="T234" s="19">
        <f t="shared" ca="1" si="67"/>
        <v>0.13</v>
      </c>
      <c r="U234" s="1" t="str">
        <f t="shared" ca="1" si="68"/>
        <v>Low Discount</v>
      </c>
    </row>
    <row r="235" spans="1:21" ht="15.6" customHeight="1" x14ac:dyDescent="0.3">
      <c r="A235" s="1" t="str">
        <f t="shared" si="63"/>
        <v>ORD-234</v>
      </c>
      <c r="B235" s="10">
        <f t="shared" ca="1" si="64"/>
        <v>45625</v>
      </c>
      <c r="C235" s="7">
        <f t="shared" ca="1" si="65"/>
        <v>45629</v>
      </c>
      <c r="D235" s="1" t="str">
        <f t="shared" ca="1" si="69"/>
        <v>Standard Class</v>
      </c>
      <c r="E235" s="1" t="str">
        <f t="shared" ca="1" si="70"/>
        <v>CU-367</v>
      </c>
      <c r="F235" s="1" t="str">
        <f t="shared" ca="1" si="71"/>
        <v>Pooja Yadav</v>
      </c>
      <c r="G235" s="1" t="str">
        <f t="shared" ca="1" si="72"/>
        <v>Consumer</v>
      </c>
      <c r="H235" s="1" t="str">
        <f t="shared" si="73"/>
        <v>India</v>
      </c>
      <c r="I235" s="1" t="str">
        <f t="shared" ca="1" si="74"/>
        <v>North</v>
      </c>
      <c r="J235" s="1" t="str">
        <f t="shared" ca="1" si="75"/>
        <v>Maharashtra</v>
      </c>
      <c r="K235" s="1" t="str">
        <f t="shared" ca="1" si="76"/>
        <v>Ahmedabad</v>
      </c>
      <c r="L235" s="1" t="str">
        <f t="shared" ca="1" si="77"/>
        <v>Technology</v>
      </c>
      <c r="M235" s="1" t="str">
        <f t="shared" ca="1" si="78"/>
        <v>Laptop</v>
      </c>
      <c r="N235" s="1" t="str">
        <f t="shared" ca="1" si="79"/>
        <v>Wireless Mouse</v>
      </c>
      <c r="O235" s="1">
        <f t="shared" ca="1" si="80"/>
        <v>58206</v>
      </c>
      <c r="P235" s="1">
        <f t="shared" ca="1" si="81"/>
        <v>2</v>
      </c>
      <c r="Q235" s="19">
        <f t="shared" ca="1" si="82"/>
        <v>0.1</v>
      </c>
      <c r="R235" s="1">
        <f t="shared" ca="1" si="83"/>
        <v>4656.4799999999996</v>
      </c>
      <c r="S235" s="1">
        <f t="shared" ca="1" si="66"/>
        <v>4</v>
      </c>
      <c r="T235" s="19">
        <f t="shared" ca="1" si="67"/>
        <v>7.9999999999999988E-2</v>
      </c>
      <c r="U235" s="1" t="str">
        <f t="shared" ca="1" si="68"/>
        <v>Low Discount</v>
      </c>
    </row>
    <row r="236" spans="1:21" ht="15.6" customHeight="1" x14ac:dyDescent="0.3">
      <c r="A236" s="1" t="str">
        <f t="shared" si="63"/>
        <v>ORD-235</v>
      </c>
      <c r="B236" s="10">
        <f t="shared" ca="1" si="64"/>
        <v>45406</v>
      </c>
      <c r="C236" s="7">
        <f t="shared" ca="1" si="65"/>
        <v>45409</v>
      </c>
      <c r="D236" s="1" t="str">
        <f t="shared" ca="1" si="69"/>
        <v>Same Day</v>
      </c>
      <c r="E236" s="1" t="str">
        <f t="shared" ca="1" si="70"/>
        <v>CU-563</v>
      </c>
      <c r="F236" s="1" t="str">
        <f t="shared" ca="1" si="71"/>
        <v>Ravi Mehta</v>
      </c>
      <c r="G236" s="1" t="str">
        <f t="shared" ca="1" si="72"/>
        <v>Consumer</v>
      </c>
      <c r="H236" s="1" t="str">
        <f t="shared" si="73"/>
        <v>India</v>
      </c>
      <c r="I236" s="1" t="str">
        <f t="shared" ca="1" si="74"/>
        <v>West</v>
      </c>
      <c r="J236" s="1" t="str">
        <f t="shared" ca="1" si="75"/>
        <v>Gujarat</v>
      </c>
      <c r="K236" s="1" t="str">
        <f t="shared" ca="1" si="76"/>
        <v>Mumbai</v>
      </c>
      <c r="L236" s="1" t="str">
        <f t="shared" ca="1" si="77"/>
        <v>Technology</v>
      </c>
      <c r="M236" s="1" t="str">
        <f t="shared" ca="1" si="78"/>
        <v>Paper</v>
      </c>
      <c r="N236" s="1" t="str">
        <f t="shared" ca="1" si="79"/>
        <v>Samsung Galaxy</v>
      </c>
      <c r="O236" s="1">
        <f t="shared" ca="1" si="80"/>
        <v>25372</v>
      </c>
      <c r="P236" s="1">
        <f t="shared" ca="1" si="81"/>
        <v>4</v>
      </c>
      <c r="Q236" s="19">
        <f t="shared" ca="1" si="82"/>
        <v>0.05</v>
      </c>
      <c r="R236" s="1">
        <f t="shared" ca="1" si="83"/>
        <v>3298.36</v>
      </c>
      <c r="S236" s="1">
        <f t="shared" ca="1" si="66"/>
        <v>3</v>
      </c>
      <c r="T236" s="19">
        <f t="shared" ca="1" si="67"/>
        <v>0.13</v>
      </c>
      <c r="U236" s="1" t="str">
        <f t="shared" ca="1" si="68"/>
        <v>Low Discount</v>
      </c>
    </row>
    <row r="237" spans="1:21" ht="15.6" customHeight="1" x14ac:dyDescent="0.3">
      <c r="A237" s="1" t="str">
        <f t="shared" si="63"/>
        <v>ORD-236</v>
      </c>
      <c r="B237" s="10">
        <f t="shared" ca="1" si="64"/>
        <v>45543</v>
      </c>
      <c r="C237" s="7">
        <f t="shared" ca="1" si="65"/>
        <v>45547</v>
      </c>
      <c r="D237" s="1" t="str">
        <f t="shared" ca="1" si="69"/>
        <v>Same Day</v>
      </c>
      <c r="E237" s="1" t="str">
        <f t="shared" ca="1" si="70"/>
        <v>CU-888</v>
      </c>
      <c r="F237" s="1" t="str">
        <f t="shared" ca="1" si="71"/>
        <v>Sunil Kumar</v>
      </c>
      <c r="G237" s="1" t="str">
        <f t="shared" ca="1" si="72"/>
        <v>Consumer</v>
      </c>
      <c r="H237" s="1" t="str">
        <f t="shared" si="73"/>
        <v>India</v>
      </c>
      <c r="I237" s="1" t="str">
        <f t="shared" ca="1" si="74"/>
        <v>North</v>
      </c>
      <c r="J237" s="1" t="str">
        <f t="shared" ca="1" si="75"/>
        <v>Karnataka</v>
      </c>
      <c r="K237" s="1" t="str">
        <f t="shared" ca="1" si="76"/>
        <v>Mumbai</v>
      </c>
      <c r="L237" s="1" t="str">
        <f t="shared" ca="1" si="77"/>
        <v>Furniture</v>
      </c>
      <c r="M237" s="1" t="str">
        <f t="shared" ca="1" si="78"/>
        <v>Table</v>
      </c>
      <c r="N237" s="1" t="str">
        <f t="shared" ca="1" si="79"/>
        <v>Samsung Galaxy</v>
      </c>
      <c r="O237" s="1">
        <f t="shared" ca="1" si="80"/>
        <v>15989</v>
      </c>
      <c r="P237" s="1">
        <f t="shared" ca="1" si="81"/>
        <v>7</v>
      </c>
      <c r="Q237" s="19">
        <f t="shared" ca="1" si="82"/>
        <v>0.2</v>
      </c>
      <c r="R237" s="1">
        <f t="shared" ca="1" si="83"/>
        <v>-319.78000000000026</v>
      </c>
      <c r="S237" s="1">
        <f t="shared" ca="1" si="66"/>
        <v>4</v>
      </c>
      <c r="T237" s="19">
        <f t="shared" ca="1" si="67"/>
        <v>-2.0000000000000018E-2</v>
      </c>
      <c r="U237" s="1" t="str">
        <f t="shared" ca="1" si="68"/>
        <v>High Discount</v>
      </c>
    </row>
    <row r="238" spans="1:21" ht="15.6" customHeight="1" x14ac:dyDescent="0.3">
      <c r="A238" s="1" t="str">
        <f t="shared" si="63"/>
        <v>ORD-237</v>
      </c>
      <c r="B238" s="10">
        <f t="shared" ca="1" si="64"/>
        <v>45417</v>
      </c>
      <c r="C238" s="7">
        <f t="shared" ca="1" si="65"/>
        <v>45418</v>
      </c>
      <c r="D238" s="1" t="str">
        <f t="shared" ca="1" si="69"/>
        <v>Second Class</v>
      </c>
      <c r="E238" s="1" t="str">
        <f t="shared" ca="1" si="70"/>
        <v>CU-190</v>
      </c>
      <c r="F238" s="1" t="str">
        <f t="shared" ca="1" si="71"/>
        <v>Arjun Malhotra</v>
      </c>
      <c r="G238" s="1" t="str">
        <f t="shared" ca="1" si="72"/>
        <v>Consumer</v>
      </c>
      <c r="H238" s="1" t="str">
        <f t="shared" si="73"/>
        <v>India</v>
      </c>
      <c r="I238" s="1" t="str">
        <f t="shared" ca="1" si="74"/>
        <v>South</v>
      </c>
      <c r="J238" s="1" t="str">
        <f t="shared" ca="1" si="75"/>
        <v>Tamil Nadu</v>
      </c>
      <c r="K238" s="1" t="str">
        <f t="shared" ca="1" si="76"/>
        <v>Bangalore</v>
      </c>
      <c r="L238" s="1" t="str">
        <f t="shared" ca="1" si="77"/>
        <v>Technology</v>
      </c>
      <c r="M238" s="1" t="str">
        <f t="shared" ca="1" si="78"/>
        <v>Mobile</v>
      </c>
      <c r="N238" s="1" t="str">
        <f t="shared" ca="1" si="79"/>
        <v>Office Table</v>
      </c>
      <c r="O238" s="1">
        <f t="shared" ca="1" si="80"/>
        <v>12866</v>
      </c>
      <c r="P238" s="1">
        <f t="shared" ca="1" si="81"/>
        <v>1</v>
      </c>
      <c r="Q238" s="19">
        <f t="shared" ca="1" si="82"/>
        <v>0.3</v>
      </c>
      <c r="R238" s="1">
        <f t="shared" ca="1" si="83"/>
        <v>-1543.9199999999998</v>
      </c>
      <c r="S238" s="1">
        <f t="shared" ca="1" si="66"/>
        <v>1</v>
      </c>
      <c r="T238" s="19">
        <f t="shared" ca="1" si="67"/>
        <v>-0.11999999999999998</v>
      </c>
      <c r="U238" s="1" t="str">
        <f t="shared" ca="1" si="68"/>
        <v>High Discount</v>
      </c>
    </row>
    <row r="239" spans="1:21" ht="15.6" customHeight="1" x14ac:dyDescent="0.3">
      <c r="A239" s="1" t="str">
        <f t="shared" si="63"/>
        <v>ORD-238</v>
      </c>
      <c r="B239" s="10">
        <f t="shared" ca="1" si="64"/>
        <v>45348</v>
      </c>
      <c r="C239" s="7">
        <f t="shared" ca="1" si="65"/>
        <v>45353</v>
      </c>
      <c r="D239" s="1" t="str">
        <f t="shared" ca="1" si="69"/>
        <v>Second Class</v>
      </c>
      <c r="E239" s="1" t="str">
        <f t="shared" ca="1" si="70"/>
        <v>CU-440</v>
      </c>
      <c r="F239" s="1" t="str">
        <f t="shared" ca="1" si="71"/>
        <v>Neha Gupta</v>
      </c>
      <c r="G239" s="1" t="str">
        <f t="shared" ca="1" si="72"/>
        <v>Consumer</v>
      </c>
      <c r="H239" s="1" t="str">
        <f t="shared" si="73"/>
        <v>India</v>
      </c>
      <c r="I239" s="1" t="str">
        <f t="shared" ca="1" si="74"/>
        <v>West</v>
      </c>
      <c r="J239" s="1" t="str">
        <f t="shared" ca="1" si="75"/>
        <v>Gujarat</v>
      </c>
      <c r="K239" s="1" t="str">
        <f t="shared" ca="1" si="76"/>
        <v>Bangalore</v>
      </c>
      <c r="L239" s="1" t="str">
        <f t="shared" ca="1" si="77"/>
        <v>Furniture</v>
      </c>
      <c r="M239" s="1" t="str">
        <f t="shared" ca="1" si="78"/>
        <v>Mobile</v>
      </c>
      <c r="N239" s="1" t="str">
        <f t="shared" ca="1" si="79"/>
        <v>Samsung Galaxy</v>
      </c>
      <c r="O239" s="1">
        <f t="shared" ca="1" si="80"/>
        <v>32490</v>
      </c>
      <c r="P239" s="1">
        <f t="shared" ca="1" si="81"/>
        <v>9</v>
      </c>
      <c r="Q239" s="19">
        <f t="shared" ca="1" si="82"/>
        <v>0.3</v>
      </c>
      <c r="R239" s="1">
        <f t="shared" ca="1" si="83"/>
        <v>-3898.7999999999997</v>
      </c>
      <c r="S239" s="1">
        <f t="shared" ca="1" si="66"/>
        <v>5</v>
      </c>
      <c r="T239" s="19">
        <f t="shared" ca="1" si="67"/>
        <v>-0.12</v>
      </c>
      <c r="U239" s="1" t="str">
        <f t="shared" ca="1" si="68"/>
        <v>High Discount</v>
      </c>
    </row>
    <row r="240" spans="1:21" ht="15.6" customHeight="1" x14ac:dyDescent="0.3">
      <c r="A240" s="1" t="str">
        <f t="shared" si="63"/>
        <v>ORD-239</v>
      </c>
      <c r="B240" s="10">
        <f t="shared" ca="1" si="64"/>
        <v>45299</v>
      </c>
      <c r="C240" s="7">
        <f t="shared" ca="1" si="65"/>
        <v>45300</v>
      </c>
      <c r="D240" s="1" t="str">
        <f t="shared" ca="1" si="69"/>
        <v>Standard Class</v>
      </c>
      <c r="E240" s="1" t="str">
        <f t="shared" ca="1" si="70"/>
        <v>CU-733</v>
      </c>
      <c r="F240" s="1" t="str">
        <f t="shared" ca="1" si="71"/>
        <v>Sunil Kumar</v>
      </c>
      <c r="G240" s="1" t="str">
        <f t="shared" ca="1" si="72"/>
        <v>Corporate</v>
      </c>
      <c r="H240" s="1" t="str">
        <f t="shared" si="73"/>
        <v>India</v>
      </c>
      <c r="I240" s="1" t="str">
        <f t="shared" ca="1" si="74"/>
        <v>South</v>
      </c>
      <c r="J240" s="1" t="str">
        <f t="shared" ca="1" si="75"/>
        <v>Tamil Nadu</v>
      </c>
      <c r="K240" s="1" t="str">
        <f t="shared" ca="1" si="76"/>
        <v>Bangalore</v>
      </c>
      <c r="L240" s="1" t="str">
        <f t="shared" ca="1" si="77"/>
        <v>Office Supplies</v>
      </c>
      <c r="M240" s="1" t="str">
        <f t="shared" ca="1" si="78"/>
        <v>Mobile</v>
      </c>
      <c r="N240" s="1" t="str">
        <f t="shared" ca="1" si="79"/>
        <v>A4 Paper</v>
      </c>
      <c r="O240" s="1">
        <f t="shared" ca="1" si="80"/>
        <v>11354</v>
      </c>
      <c r="P240" s="1">
        <f t="shared" ca="1" si="81"/>
        <v>2</v>
      </c>
      <c r="Q240" s="19">
        <f t="shared" ca="1" si="82"/>
        <v>0.3</v>
      </c>
      <c r="R240" s="1">
        <f t="shared" ca="1" si="83"/>
        <v>-1362.48</v>
      </c>
      <c r="S240" s="1">
        <f t="shared" ca="1" si="66"/>
        <v>1</v>
      </c>
      <c r="T240" s="19">
        <f t="shared" ca="1" si="67"/>
        <v>-0.12</v>
      </c>
      <c r="U240" s="1" t="str">
        <f t="shared" ca="1" si="68"/>
        <v>High Discount</v>
      </c>
    </row>
    <row r="241" spans="1:21" ht="15.6" customHeight="1" x14ac:dyDescent="0.3">
      <c r="A241" s="1" t="str">
        <f t="shared" si="63"/>
        <v>ORD-240</v>
      </c>
      <c r="B241" s="10">
        <f t="shared" ca="1" si="64"/>
        <v>45483</v>
      </c>
      <c r="C241" s="7">
        <f t="shared" ca="1" si="65"/>
        <v>45483</v>
      </c>
      <c r="D241" s="1" t="str">
        <f t="shared" ca="1" si="69"/>
        <v>Second Class</v>
      </c>
      <c r="E241" s="1" t="str">
        <f t="shared" ca="1" si="70"/>
        <v>CU-430</v>
      </c>
      <c r="F241" s="1" t="str">
        <f t="shared" ca="1" si="71"/>
        <v>Ravi Mehta</v>
      </c>
      <c r="G241" s="1" t="str">
        <f t="shared" ca="1" si="72"/>
        <v>Home Office</v>
      </c>
      <c r="H241" s="1" t="str">
        <f t="shared" si="73"/>
        <v>India</v>
      </c>
      <c r="I241" s="1" t="str">
        <f t="shared" ca="1" si="74"/>
        <v>East</v>
      </c>
      <c r="J241" s="1" t="str">
        <f t="shared" ca="1" si="75"/>
        <v>Karnataka</v>
      </c>
      <c r="K241" s="1" t="str">
        <f t="shared" ca="1" si="76"/>
        <v>Kolkata</v>
      </c>
      <c r="L241" s="1" t="str">
        <f t="shared" ca="1" si="77"/>
        <v>Furniture</v>
      </c>
      <c r="M241" s="1" t="str">
        <f t="shared" ca="1" si="78"/>
        <v>Paper</v>
      </c>
      <c r="N241" s="1" t="str">
        <f t="shared" ca="1" si="79"/>
        <v>Wireless Mouse</v>
      </c>
      <c r="O241" s="1">
        <f t="shared" ca="1" si="80"/>
        <v>54917</v>
      </c>
      <c r="P241" s="1">
        <f t="shared" ca="1" si="81"/>
        <v>3</v>
      </c>
      <c r="Q241" s="19">
        <f t="shared" ca="1" si="82"/>
        <v>0.1</v>
      </c>
      <c r="R241" s="1">
        <f t="shared" ca="1" si="83"/>
        <v>4393.3599999999997</v>
      </c>
      <c r="S241" s="1">
        <f t="shared" ca="1" si="66"/>
        <v>0</v>
      </c>
      <c r="T241" s="19">
        <f t="shared" ca="1" si="67"/>
        <v>7.9999999999999988E-2</v>
      </c>
      <c r="U241" s="1" t="str">
        <f t="shared" ca="1" si="68"/>
        <v>Low Discount</v>
      </c>
    </row>
    <row r="242" spans="1:21" ht="15.6" customHeight="1" x14ac:dyDescent="0.3">
      <c r="A242" s="1" t="str">
        <f t="shared" si="63"/>
        <v>ORD-241</v>
      </c>
      <c r="B242" s="10">
        <f t="shared" ca="1" si="64"/>
        <v>45546</v>
      </c>
      <c r="C242" s="7">
        <f t="shared" ca="1" si="65"/>
        <v>45550</v>
      </c>
      <c r="D242" s="1" t="str">
        <f t="shared" ca="1" si="69"/>
        <v>Same Day</v>
      </c>
      <c r="E242" s="1" t="str">
        <f t="shared" ca="1" si="70"/>
        <v>CU-219</v>
      </c>
      <c r="F242" s="1" t="str">
        <f t="shared" ca="1" si="71"/>
        <v>Rahul Sharma</v>
      </c>
      <c r="G242" s="1" t="str">
        <f t="shared" ca="1" si="72"/>
        <v>Consumer</v>
      </c>
      <c r="H242" s="1" t="str">
        <f t="shared" si="73"/>
        <v>India</v>
      </c>
      <c r="I242" s="1" t="str">
        <f t="shared" ca="1" si="74"/>
        <v>West</v>
      </c>
      <c r="J242" s="1" t="str">
        <f t="shared" ca="1" si="75"/>
        <v>Karnataka</v>
      </c>
      <c r="K242" s="1" t="str">
        <f t="shared" ca="1" si="76"/>
        <v>Mumbai</v>
      </c>
      <c r="L242" s="1" t="str">
        <f t="shared" ca="1" si="77"/>
        <v>Office Supplies</v>
      </c>
      <c r="M242" s="1" t="str">
        <f t="shared" ca="1" si="78"/>
        <v>Chair</v>
      </c>
      <c r="N242" s="1" t="str">
        <f t="shared" ca="1" si="79"/>
        <v>HP Pavilion</v>
      </c>
      <c r="O242" s="1">
        <f t="shared" ca="1" si="80"/>
        <v>59437</v>
      </c>
      <c r="P242" s="1">
        <f t="shared" ca="1" si="81"/>
        <v>3</v>
      </c>
      <c r="Q242" s="19">
        <f t="shared" ca="1" si="82"/>
        <v>0.05</v>
      </c>
      <c r="R242" s="1">
        <f t="shared" ca="1" si="83"/>
        <v>7726.81</v>
      </c>
      <c r="S242" s="1">
        <f t="shared" ca="1" si="66"/>
        <v>4</v>
      </c>
      <c r="T242" s="19">
        <f t="shared" ca="1" si="67"/>
        <v>0.13</v>
      </c>
      <c r="U242" s="1" t="str">
        <f t="shared" ca="1" si="68"/>
        <v>Low Discount</v>
      </c>
    </row>
    <row r="243" spans="1:21" ht="15.6" customHeight="1" x14ac:dyDescent="0.3">
      <c r="A243" s="1" t="str">
        <f t="shared" si="63"/>
        <v>ORD-242</v>
      </c>
      <c r="B243" s="10">
        <f t="shared" ca="1" si="64"/>
        <v>45608</v>
      </c>
      <c r="C243" s="7">
        <f t="shared" ca="1" si="65"/>
        <v>45608</v>
      </c>
      <c r="D243" s="1" t="str">
        <f t="shared" ca="1" si="69"/>
        <v>Second Class</v>
      </c>
      <c r="E243" s="1" t="str">
        <f t="shared" ca="1" si="70"/>
        <v>CU-350</v>
      </c>
      <c r="F243" s="1" t="str">
        <f t="shared" ca="1" si="71"/>
        <v>Ravi Mehta</v>
      </c>
      <c r="G243" s="1" t="str">
        <f t="shared" ca="1" si="72"/>
        <v>Corporate</v>
      </c>
      <c r="H243" s="1" t="str">
        <f t="shared" si="73"/>
        <v>India</v>
      </c>
      <c r="I243" s="1" t="str">
        <f t="shared" ca="1" si="74"/>
        <v>West</v>
      </c>
      <c r="J243" s="1" t="str">
        <f t="shared" ca="1" si="75"/>
        <v>Gujarat</v>
      </c>
      <c r="K243" s="1" t="str">
        <f t="shared" ca="1" si="76"/>
        <v>Chennai</v>
      </c>
      <c r="L243" s="1" t="str">
        <f t="shared" ca="1" si="77"/>
        <v>Office Supplies</v>
      </c>
      <c r="M243" s="1" t="str">
        <f t="shared" ca="1" si="78"/>
        <v>Table</v>
      </c>
      <c r="N243" s="1" t="str">
        <f t="shared" ca="1" si="79"/>
        <v>Samsung Galaxy</v>
      </c>
      <c r="O243" s="1">
        <f t="shared" ca="1" si="80"/>
        <v>11399</v>
      </c>
      <c r="P243" s="1">
        <f t="shared" ca="1" si="81"/>
        <v>6</v>
      </c>
      <c r="Q243" s="19">
        <f t="shared" ca="1" si="82"/>
        <v>0.3</v>
      </c>
      <c r="R243" s="1">
        <f t="shared" ca="1" si="83"/>
        <v>-1367.8799999999999</v>
      </c>
      <c r="S243" s="1">
        <f t="shared" ca="1" si="66"/>
        <v>0</v>
      </c>
      <c r="T243" s="19">
        <f t="shared" ca="1" si="67"/>
        <v>-0.12</v>
      </c>
      <c r="U243" s="1" t="str">
        <f t="shared" ca="1" si="68"/>
        <v>High Discount</v>
      </c>
    </row>
    <row r="244" spans="1:21" ht="15.6" customHeight="1" x14ac:dyDescent="0.3">
      <c r="A244" s="1" t="str">
        <f t="shared" si="63"/>
        <v>ORD-243</v>
      </c>
      <c r="B244" s="10">
        <f t="shared" ca="1" si="64"/>
        <v>45380</v>
      </c>
      <c r="C244" s="7">
        <f t="shared" ca="1" si="65"/>
        <v>45385</v>
      </c>
      <c r="D244" s="1" t="str">
        <f t="shared" ca="1" si="69"/>
        <v>Second Class</v>
      </c>
      <c r="E244" s="1" t="str">
        <f t="shared" ca="1" si="70"/>
        <v>CU-450</v>
      </c>
      <c r="F244" s="1" t="str">
        <f t="shared" ca="1" si="71"/>
        <v>Sunil Kumar</v>
      </c>
      <c r="G244" s="1" t="str">
        <f t="shared" ca="1" si="72"/>
        <v>Consumer</v>
      </c>
      <c r="H244" s="1" t="str">
        <f t="shared" si="73"/>
        <v>India</v>
      </c>
      <c r="I244" s="1" t="str">
        <f t="shared" ca="1" si="74"/>
        <v>East</v>
      </c>
      <c r="J244" s="1" t="str">
        <f t="shared" ca="1" si="75"/>
        <v>Gujarat</v>
      </c>
      <c r="K244" s="1" t="str">
        <f t="shared" ca="1" si="76"/>
        <v>Kolkata</v>
      </c>
      <c r="L244" s="1" t="str">
        <f t="shared" ca="1" si="77"/>
        <v>Office Supplies</v>
      </c>
      <c r="M244" s="1" t="str">
        <f t="shared" ca="1" si="78"/>
        <v>Mobile</v>
      </c>
      <c r="N244" s="1" t="str">
        <f t="shared" ca="1" si="79"/>
        <v>HP Pavilion</v>
      </c>
      <c r="O244" s="1">
        <f t="shared" ca="1" si="80"/>
        <v>8676</v>
      </c>
      <c r="P244" s="1">
        <f t="shared" ca="1" si="81"/>
        <v>6</v>
      </c>
      <c r="Q244" s="19">
        <f t="shared" ca="1" si="82"/>
        <v>0.05</v>
      </c>
      <c r="R244" s="1">
        <f t="shared" ca="1" si="83"/>
        <v>1127.8800000000001</v>
      </c>
      <c r="S244" s="1">
        <f t="shared" ca="1" si="66"/>
        <v>5</v>
      </c>
      <c r="T244" s="19">
        <f t="shared" ca="1" si="67"/>
        <v>0.13</v>
      </c>
      <c r="U244" s="1" t="str">
        <f t="shared" ca="1" si="68"/>
        <v>Low Discount</v>
      </c>
    </row>
    <row r="245" spans="1:21" ht="15.6" customHeight="1" x14ac:dyDescent="0.3">
      <c r="A245" s="1" t="str">
        <f t="shared" si="63"/>
        <v>ORD-244</v>
      </c>
      <c r="B245" s="10">
        <f t="shared" ca="1" si="64"/>
        <v>45393</v>
      </c>
      <c r="C245" s="7">
        <f t="shared" ca="1" si="65"/>
        <v>45396</v>
      </c>
      <c r="D245" s="1" t="str">
        <f t="shared" ca="1" si="69"/>
        <v>Standard Class</v>
      </c>
      <c r="E245" s="1" t="str">
        <f t="shared" ca="1" si="70"/>
        <v>CU-917</v>
      </c>
      <c r="F245" s="1" t="str">
        <f t="shared" ca="1" si="71"/>
        <v>Priya Singh</v>
      </c>
      <c r="G245" s="1" t="str">
        <f t="shared" ca="1" si="72"/>
        <v>Corporate</v>
      </c>
      <c r="H245" s="1" t="str">
        <f t="shared" si="73"/>
        <v>India</v>
      </c>
      <c r="I245" s="1" t="str">
        <f t="shared" ca="1" si="74"/>
        <v>North</v>
      </c>
      <c r="J245" s="1" t="str">
        <f t="shared" ca="1" si="75"/>
        <v>Tamil Nadu</v>
      </c>
      <c r="K245" s="1" t="str">
        <f t="shared" ca="1" si="76"/>
        <v>Chennai</v>
      </c>
      <c r="L245" s="1" t="str">
        <f t="shared" ca="1" si="77"/>
        <v>Technology</v>
      </c>
      <c r="M245" s="1" t="str">
        <f t="shared" ca="1" si="78"/>
        <v>Laptop</v>
      </c>
      <c r="N245" s="1" t="str">
        <f t="shared" ca="1" si="79"/>
        <v>A4 Paper</v>
      </c>
      <c r="O245" s="1">
        <f t="shared" ca="1" si="80"/>
        <v>21787</v>
      </c>
      <c r="P245" s="1">
        <f t="shared" ca="1" si="81"/>
        <v>7</v>
      </c>
      <c r="Q245" s="19">
        <f t="shared" ca="1" si="82"/>
        <v>0</v>
      </c>
      <c r="R245" s="1">
        <f t="shared" ca="1" si="83"/>
        <v>3921.66</v>
      </c>
      <c r="S245" s="1">
        <f t="shared" ca="1" si="66"/>
        <v>3</v>
      </c>
      <c r="T245" s="19">
        <f t="shared" ca="1" si="67"/>
        <v>0.18</v>
      </c>
      <c r="U245" s="1" t="str">
        <f t="shared" ca="1" si="68"/>
        <v>Low Discount</v>
      </c>
    </row>
    <row r="246" spans="1:21" ht="15.6" customHeight="1" x14ac:dyDescent="0.3">
      <c r="A246" s="1" t="str">
        <f t="shared" si="63"/>
        <v>ORD-245</v>
      </c>
      <c r="B246" s="10">
        <f t="shared" ca="1" si="64"/>
        <v>45309</v>
      </c>
      <c r="C246" s="7">
        <f t="shared" ca="1" si="65"/>
        <v>45314</v>
      </c>
      <c r="D246" s="1" t="str">
        <f t="shared" ca="1" si="69"/>
        <v>Second Class</v>
      </c>
      <c r="E246" s="1" t="str">
        <f t="shared" ca="1" si="70"/>
        <v>CU-887</v>
      </c>
      <c r="F246" s="1" t="str">
        <f t="shared" ca="1" si="71"/>
        <v>Amit Verma</v>
      </c>
      <c r="G246" s="1" t="str">
        <f t="shared" ca="1" si="72"/>
        <v>Consumer</v>
      </c>
      <c r="H246" s="1" t="str">
        <f t="shared" si="73"/>
        <v>India</v>
      </c>
      <c r="I246" s="1" t="str">
        <f t="shared" ca="1" si="74"/>
        <v>South</v>
      </c>
      <c r="J246" s="1" t="str">
        <f t="shared" ca="1" si="75"/>
        <v>Tamil Nadu</v>
      </c>
      <c r="K246" s="1" t="str">
        <f t="shared" ca="1" si="76"/>
        <v>Mumbai</v>
      </c>
      <c r="L246" s="1" t="str">
        <f t="shared" ca="1" si="77"/>
        <v>Furniture</v>
      </c>
      <c r="M246" s="1" t="str">
        <f t="shared" ca="1" si="78"/>
        <v>Mobile</v>
      </c>
      <c r="N246" s="1" t="str">
        <f t="shared" ca="1" si="79"/>
        <v>Office Chair</v>
      </c>
      <c r="O246" s="1">
        <f t="shared" ca="1" si="80"/>
        <v>13260</v>
      </c>
      <c r="P246" s="1">
        <f t="shared" ca="1" si="81"/>
        <v>10</v>
      </c>
      <c r="Q246" s="19">
        <f t="shared" ca="1" si="82"/>
        <v>0</v>
      </c>
      <c r="R246" s="1">
        <f t="shared" ca="1" si="83"/>
        <v>2386.7999999999997</v>
      </c>
      <c r="S246" s="1">
        <f t="shared" ca="1" si="66"/>
        <v>5</v>
      </c>
      <c r="T246" s="19">
        <f t="shared" ca="1" si="67"/>
        <v>0.17999999999999997</v>
      </c>
      <c r="U246" s="1" t="str">
        <f t="shared" ca="1" si="68"/>
        <v>Low Discount</v>
      </c>
    </row>
    <row r="247" spans="1:21" ht="15.6" customHeight="1" x14ac:dyDescent="0.3">
      <c r="A247" s="1" t="str">
        <f t="shared" si="63"/>
        <v>ORD-246</v>
      </c>
      <c r="B247" s="10">
        <f t="shared" ca="1" si="64"/>
        <v>45654</v>
      </c>
      <c r="C247" s="7">
        <f t="shared" ca="1" si="65"/>
        <v>45659</v>
      </c>
      <c r="D247" s="1" t="str">
        <f t="shared" ca="1" si="69"/>
        <v>Standard Class</v>
      </c>
      <c r="E247" s="1" t="str">
        <f t="shared" ca="1" si="70"/>
        <v>CU-816</v>
      </c>
      <c r="F247" s="1" t="str">
        <f t="shared" ca="1" si="71"/>
        <v>Ravi Mehta</v>
      </c>
      <c r="G247" s="1" t="str">
        <f t="shared" ca="1" si="72"/>
        <v>Corporate</v>
      </c>
      <c r="H247" s="1" t="str">
        <f t="shared" si="73"/>
        <v>India</v>
      </c>
      <c r="I247" s="1" t="str">
        <f t="shared" ca="1" si="74"/>
        <v>West</v>
      </c>
      <c r="J247" s="1" t="str">
        <f t="shared" ca="1" si="75"/>
        <v>Tamil Nadu</v>
      </c>
      <c r="K247" s="1" t="str">
        <f t="shared" ca="1" si="76"/>
        <v>Delhi</v>
      </c>
      <c r="L247" s="1" t="str">
        <f t="shared" ca="1" si="77"/>
        <v>Office Supplies</v>
      </c>
      <c r="M247" s="1" t="str">
        <f t="shared" ca="1" si="78"/>
        <v>Chair</v>
      </c>
      <c r="N247" s="1" t="str">
        <f t="shared" ca="1" si="79"/>
        <v>A4 Paper</v>
      </c>
      <c r="O247" s="1">
        <f t="shared" ca="1" si="80"/>
        <v>52740</v>
      </c>
      <c r="P247" s="1">
        <f t="shared" ca="1" si="81"/>
        <v>1</v>
      </c>
      <c r="Q247" s="19">
        <f t="shared" ca="1" si="82"/>
        <v>0.1</v>
      </c>
      <c r="R247" s="1">
        <f t="shared" ca="1" si="83"/>
        <v>4219.1999999999989</v>
      </c>
      <c r="S247" s="1">
        <f t="shared" ca="1" si="66"/>
        <v>5</v>
      </c>
      <c r="T247" s="19">
        <f t="shared" ca="1" si="67"/>
        <v>7.9999999999999974E-2</v>
      </c>
      <c r="U247" s="1" t="str">
        <f t="shared" ca="1" si="68"/>
        <v>Low Discount</v>
      </c>
    </row>
    <row r="248" spans="1:21" ht="15.6" customHeight="1" x14ac:dyDescent="0.3">
      <c r="A248" s="1" t="str">
        <f t="shared" si="63"/>
        <v>ORD-247</v>
      </c>
      <c r="B248" s="10">
        <f t="shared" ca="1" si="64"/>
        <v>45451</v>
      </c>
      <c r="C248" s="7">
        <f t="shared" ca="1" si="65"/>
        <v>45454</v>
      </c>
      <c r="D248" s="1" t="str">
        <f t="shared" ca="1" si="69"/>
        <v>Standard Class</v>
      </c>
      <c r="E248" s="1" t="str">
        <f t="shared" ca="1" si="70"/>
        <v>CU-315</v>
      </c>
      <c r="F248" s="1" t="str">
        <f t="shared" ca="1" si="71"/>
        <v>Neha Gupta</v>
      </c>
      <c r="G248" s="1" t="str">
        <f t="shared" ca="1" si="72"/>
        <v>Consumer</v>
      </c>
      <c r="H248" s="1" t="str">
        <f t="shared" si="73"/>
        <v>India</v>
      </c>
      <c r="I248" s="1" t="str">
        <f t="shared" ca="1" si="74"/>
        <v>East</v>
      </c>
      <c r="J248" s="1" t="str">
        <f t="shared" ca="1" si="75"/>
        <v>Tamil Nadu</v>
      </c>
      <c r="K248" s="1" t="str">
        <f t="shared" ca="1" si="76"/>
        <v>Kolkata</v>
      </c>
      <c r="L248" s="1" t="str">
        <f t="shared" ca="1" si="77"/>
        <v>Furniture</v>
      </c>
      <c r="M248" s="1" t="str">
        <f t="shared" ca="1" si="78"/>
        <v>Table</v>
      </c>
      <c r="N248" s="1" t="str">
        <f t="shared" ca="1" si="79"/>
        <v>Samsung Galaxy</v>
      </c>
      <c r="O248" s="1">
        <f t="shared" ca="1" si="80"/>
        <v>51116</v>
      </c>
      <c r="P248" s="1">
        <f t="shared" ca="1" si="81"/>
        <v>3</v>
      </c>
      <c r="Q248" s="19">
        <f t="shared" ca="1" si="82"/>
        <v>0.05</v>
      </c>
      <c r="R248" s="1">
        <f t="shared" ca="1" si="83"/>
        <v>6645.08</v>
      </c>
      <c r="S248" s="1">
        <f t="shared" ca="1" si="66"/>
        <v>3</v>
      </c>
      <c r="T248" s="19">
        <f t="shared" ca="1" si="67"/>
        <v>0.13</v>
      </c>
      <c r="U248" s="1" t="str">
        <f t="shared" ca="1" si="68"/>
        <v>Low Discount</v>
      </c>
    </row>
    <row r="249" spans="1:21" ht="15.6" customHeight="1" x14ac:dyDescent="0.3">
      <c r="A249" s="1" t="str">
        <f t="shared" si="63"/>
        <v>ORD-248</v>
      </c>
      <c r="B249" s="10">
        <f t="shared" ca="1" si="64"/>
        <v>45531</v>
      </c>
      <c r="C249" s="7">
        <f t="shared" ca="1" si="65"/>
        <v>45532</v>
      </c>
      <c r="D249" s="1" t="str">
        <f t="shared" ca="1" si="69"/>
        <v>Second Class</v>
      </c>
      <c r="E249" s="1" t="str">
        <f t="shared" ca="1" si="70"/>
        <v>CU-853</v>
      </c>
      <c r="F249" s="1" t="str">
        <f t="shared" ca="1" si="71"/>
        <v>Arjun Malhotra</v>
      </c>
      <c r="G249" s="1" t="str">
        <f t="shared" ca="1" si="72"/>
        <v>Home Office</v>
      </c>
      <c r="H249" s="1" t="str">
        <f t="shared" si="73"/>
        <v>India</v>
      </c>
      <c r="I249" s="1" t="str">
        <f t="shared" ca="1" si="74"/>
        <v>East</v>
      </c>
      <c r="J249" s="1" t="str">
        <f t="shared" ca="1" si="75"/>
        <v>Gujarat</v>
      </c>
      <c r="K249" s="1" t="str">
        <f t="shared" ca="1" si="76"/>
        <v>Kolkata</v>
      </c>
      <c r="L249" s="1" t="str">
        <f t="shared" ca="1" si="77"/>
        <v>Office Supplies</v>
      </c>
      <c r="M249" s="1" t="str">
        <f t="shared" ca="1" si="78"/>
        <v>Mobile</v>
      </c>
      <c r="N249" s="1" t="str">
        <f t="shared" ca="1" si="79"/>
        <v>Wireless Mouse</v>
      </c>
      <c r="O249" s="1">
        <f t="shared" ca="1" si="80"/>
        <v>48946</v>
      </c>
      <c r="P249" s="1">
        <f t="shared" ca="1" si="81"/>
        <v>8</v>
      </c>
      <c r="Q249" s="19">
        <f t="shared" ca="1" si="82"/>
        <v>0</v>
      </c>
      <c r="R249" s="1">
        <f t="shared" ca="1" si="83"/>
        <v>8810.2799999999988</v>
      </c>
      <c r="S249" s="1">
        <f t="shared" ca="1" si="66"/>
        <v>1</v>
      </c>
      <c r="T249" s="19">
        <f t="shared" ca="1" si="67"/>
        <v>0.17999999999999997</v>
      </c>
      <c r="U249" s="1" t="str">
        <f t="shared" ca="1" si="68"/>
        <v>Low Discount</v>
      </c>
    </row>
    <row r="250" spans="1:21" ht="15.6" customHeight="1" x14ac:dyDescent="0.3">
      <c r="A250" s="1" t="str">
        <f t="shared" si="63"/>
        <v>ORD-249</v>
      </c>
      <c r="B250" s="10">
        <f t="shared" ca="1" si="64"/>
        <v>45497</v>
      </c>
      <c r="C250" s="7">
        <f t="shared" ca="1" si="65"/>
        <v>45499</v>
      </c>
      <c r="D250" s="1" t="str">
        <f t="shared" ca="1" si="69"/>
        <v>Same Day</v>
      </c>
      <c r="E250" s="1" t="str">
        <f t="shared" ca="1" si="70"/>
        <v>CU-273</v>
      </c>
      <c r="F250" s="1" t="str">
        <f t="shared" ca="1" si="71"/>
        <v>Neha Gupta</v>
      </c>
      <c r="G250" s="1" t="str">
        <f t="shared" ca="1" si="72"/>
        <v>Consumer</v>
      </c>
      <c r="H250" s="1" t="str">
        <f t="shared" si="73"/>
        <v>India</v>
      </c>
      <c r="I250" s="1" t="str">
        <f t="shared" ca="1" si="74"/>
        <v>East</v>
      </c>
      <c r="J250" s="1" t="str">
        <f t="shared" ca="1" si="75"/>
        <v>Gujarat</v>
      </c>
      <c r="K250" s="1" t="str">
        <f t="shared" ca="1" si="76"/>
        <v>Kolkata</v>
      </c>
      <c r="L250" s="1" t="str">
        <f t="shared" ca="1" si="77"/>
        <v>Technology</v>
      </c>
      <c r="M250" s="1" t="str">
        <f t="shared" ca="1" si="78"/>
        <v>Laptop</v>
      </c>
      <c r="N250" s="1" t="str">
        <f t="shared" ca="1" si="79"/>
        <v>Office Table</v>
      </c>
      <c r="O250" s="1">
        <f t="shared" ca="1" si="80"/>
        <v>24638</v>
      </c>
      <c r="P250" s="1">
        <f t="shared" ca="1" si="81"/>
        <v>3</v>
      </c>
      <c r="Q250" s="19">
        <f t="shared" ca="1" si="82"/>
        <v>0.05</v>
      </c>
      <c r="R250" s="1">
        <f t="shared" ca="1" si="83"/>
        <v>3202.94</v>
      </c>
      <c r="S250" s="1">
        <f t="shared" ca="1" si="66"/>
        <v>2</v>
      </c>
      <c r="T250" s="19">
        <f t="shared" ca="1" si="67"/>
        <v>0.13</v>
      </c>
      <c r="U250" s="1" t="str">
        <f t="shared" ca="1" si="68"/>
        <v>Low Discount</v>
      </c>
    </row>
    <row r="251" spans="1:21" ht="15.6" customHeight="1" x14ac:dyDescent="0.3">
      <c r="A251" s="1" t="str">
        <f t="shared" si="63"/>
        <v>ORD-250</v>
      </c>
      <c r="B251" s="10">
        <f t="shared" ca="1" si="64"/>
        <v>45490</v>
      </c>
      <c r="C251" s="7">
        <f t="shared" ca="1" si="65"/>
        <v>45490</v>
      </c>
      <c r="D251" s="1" t="str">
        <f t="shared" ca="1" si="69"/>
        <v>Standard Class</v>
      </c>
      <c r="E251" s="1" t="str">
        <f t="shared" ca="1" si="70"/>
        <v>CU-612</v>
      </c>
      <c r="F251" s="1" t="str">
        <f t="shared" ca="1" si="71"/>
        <v>Priya Singh</v>
      </c>
      <c r="G251" s="1" t="str">
        <f t="shared" ca="1" si="72"/>
        <v>Corporate</v>
      </c>
      <c r="H251" s="1" t="str">
        <f t="shared" si="73"/>
        <v>India</v>
      </c>
      <c r="I251" s="1" t="str">
        <f t="shared" ca="1" si="74"/>
        <v>South</v>
      </c>
      <c r="J251" s="1" t="str">
        <f t="shared" ca="1" si="75"/>
        <v>West Bengal</v>
      </c>
      <c r="K251" s="1" t="str">
        <f t="shared" ca="1" si="76"/>
        <v>Ahmedabad</v>
      </c>
      <c r="L251" s="1" t="str">
        <f t="shared" ca="1" si="77"/>
        <v>Furniture</v>
      </c>
      <c r="M251" s="1" t="str">
        <f t="shared" ca="1" si="78"/>
        <v>Chair</v>
      </c>
      <c r="N251" s="1" t="str">
        <f t="shared" ca="1" si="79"/>
        <v>A4 Paper</v>
      </c>
      <c r="O251" s="1">
        <f t="shared" ca="1" si="80"/>
        <v>11089</v>
      </c>
      <c r="P251" s="1">
        <f t="shared" ca="1" si="81"/>
        <v>8</v>
      </c>
      <c r="Q251" s="19">
        <f t="shared" ca="1" si="82"/>
        <v>0.2</v>
      </c>
      <c r="R251" s="1">
        <f t="shared" ca="1" si="83"/>
        <v>-221.7800000000002</v>
      </c>
      <c r="S251" s="1">
        <f t="shared" ca="1" si="66"/>
        <v>0</v>
      </c>
      <c r="T251" s="19">
        <f t="shared" ca="1" si="67"/>
        <v>-2.0000000000000018E-2</v>
      </c>
      <c r="U251" s="1" t="str">
        <f t="shared" ca="1" si="68"/>
        <v>High Discount</v>
      </c>
    </row>
    <row r="252" spans="1:21" ht="15.6" customHeight="1" x14ac:dyDescent="0.3">
      <c r="A252" s="1" t="str">
        <f t="shared" si="63"/>
        <v>ORD-251</v>
      </c>
      <c r="B252" s="10">
        <f t="shared" ca="1" si="64"/>
        <v>45487</v>
      </c>
      <c r="C252" s="7">
        <f t="shared" ca="1" si="65"/>
        <v>45488</v>
      </c>
      <c r="D252" s="1" t="str">
        <f t="shared" ca="1" si="69"/>
        <v>Same Day</v>
      </c>
      <c r="E252" s="1" t="str">
        <f t="shared" ca="1" si="70"/>
        <v>CU-945</v>
      </c>
      <c r="F252" s="1" t="str">
        <f t="shared" ca="1" si="71"/>
        <v>Neha Gupta</v>
      </c>
      <c r="G252" s="1" t="str">
        <f t="shared" ca="1" si="72"/>
        <v>Corporate</v>
      </c>
      <c r="H252" s="1" t="str">
        <f t="shared" si="73"/>
        <v>India</v>
      </c>
      <c r="I252" s="1" t="str">
        <f t="shared" ca="1" si="74"/>
        <v>East</v>
      </c>
      <c r="J252" s="1" t="str">
        <f t="shared" ca="1" si="75"/>
        <v>Gujarat</v>
      </c>
      <c r="K252" s="1" t="str">
        <f t="shared" ca="1" si="76"/>
        <v>Bangalore</v>
      </c>
      <c r="L252" s="1" t="str">
        <f t="shared" ca="1" si="77"/>
        <v>Technology</v>
      </c>
      <c r="M252" s="1" t="str">
        <f t="shared" ca="1" si="78"/>
        <v>Chair</v>
      </c>
      <c r="N252" s="1" t="str">
        <f t="shared" ca="1" si="79"/>
        <v>Office Chair</v>
      </c>
      <c r="O252" s="1">
        <f t="shared" ca="1" si="80"/>
        <v>10369</v>
      </c>
      <c r="P252" s="1">
        <f t="shared" ca="1" si="81"/>
        <v>8</v>
      </c>
      <c r="Q252" s="19">
        <f t="shared" ca="1" si="82"/>
        <v>0.1</v>
      </c>
      <c r="R252" s="1">
        <f t="shared" ca="1" si="83"/>
        <v>829.51999999999987</v>
      </c>
      <c r="S252" s="1">
        <f t="shared" ca="1" si="66"/>
        <v>1</v>
      </c>
      <c r="T252" s="19">
        <f t="shared" ca="1" si="67"/>
        <v>7.9999999999999988E-2</v>
      </c>
      <c r="U252" s="1" t="str">
        <f t="shared" ca="1" si="68"/>
        <v>Low Discount</v>
      </c>
    </row>
    <row r="253" spans="1:21" ht="15.6" customHeight="1" x14ac:dyDescent="0.3">
      <c r="A253" s="1" t="str">
        <f t="shared" si="63"/>
        <v>ORD-252</v>
      </c>
      <c r="B253" s="10">
        <f t="shared" ca="1" si="64"/>
        <v>45365</v>
      </c>
      <c r="C253" s="7">
        <f t="shared" ca="1" si="65"/>
        <v>45366</v>
      </c>
      <c r="D253" s="1" t="str">
        <f t="shared" ca="1" si="69"/>
        <v>Same Day</v>
      </c>
      <c r="E253" s="1" t="str">
        <f t="shared" ca="1" si="70"/>
        <v>CU-439</v>
      </c>
      <c r="F253" s="1" t="str">
        <f t="shared" ca="1" si="71"/>
        <v>Arjun Malhotra</v>
      </c>
      <c r="G253" s="1" t="str">
        <f t="shared" ca="1" si="72"/>
        <v>Consumer</v>
      </c>
      <c r="H253" s="1" t="str">
        <f t="shared" si="73"/>
        <v>India</v>
      </c>
      <c r="I253" s="1" t="str">
        <f t="shared" ca="1" si="74"/>
        <v>East</v>
      </c>
      <c r="J253" s="1" t="str">
        <f t="shared" ca="1" si="75"/>
        <v>West Bengal</v>
      </c>
      <c r="K253" s="1" t="str">
        <f t="shared" ca="1" si="76"/>
        <v>Ahmedabad</v>
      </c>
      <c r="L253" s="1" t="str">
        <f t="shared" ca="1" si="77"/>
        <v>Furniture</v>
      </c>
      <c r="M253" s="1" t="str">
        <f t="shared" ca="1" si="78"/>
        <v>Table</v>
      </c>
      <c r="N253" s="1" t="str">
        <f t="shared" ca="1" si="79"/>
        <v>Office Table</v>
      </c>
      <c r="O253" s="1">
        <f t="shared" ca="1" si="80"/>
        <v>30854</v>
      </c>
      <c r="P253" s="1">
        <f t="shared" ca="1" si="81"/>
        <v>8</v>
      </c>
      <c r="Q253" s="19">
        <f t="shared" ca="1" si="82"/>
        <v>0.05</v>
      </c>
      <c r="R253" s="1">
        <f t="shared" ca="1" si="83"/>
        <v>4011.02</v>
      </c>
      <c r="S253" s="1">
        <f t="shared" ca="1" si="66"/>
        <v>1</v>
      </c>
      <c r="T253" s="19">
        <f t="shared" ca="1" si="67"/>
        <v>0.13</v>
      </c>
      <c r="U253" s="1" t="str">
        <f t="shared" ca="1" si="68"/>
        <v>Low Discount</v>
      </c>
    </row>
    <row r="254" spans="1:21" ht="15.6" customHeight="1" x14ac:dyDescent="0.3">
      <c r="A254" s="1" t="str">
        <f t="shared" si="63"/>
        <v>ORD-253</v>
      </c>
      <c r="B254" s="10">
        <f t="shared" ca="1" si="64"/>
        <v>45650</v>
      </c>
      <c r="C254" s="7">
        <f t="shared" ca="1" si="65"/>
        <v>45651</v>
      </c>
      <c r="D254" s="1" t="str">
        <f t="shared" ca="1" si="69"/>
        <v>Standard Class</v>
      </c>
      <c r="E254" s="1" t="str">
        <f t="shared" ca="1" si="70"/>
        <v>CU-756</v>
      </c>
      <c r="F254" s="1" t="str">
        <f t="shared" ca="1" si="71"/>
        <v>Neha Gupta</v>
      </c>
      <c r="G254" s="1" t="str">
        <f t="shared" ca="1" si="72"/>
        <v>Home Office</v>
      </c>
      <c r="H254" s="1" t="str">
        <f t="shared" si="73"/>
        <v>India</v>
      </c>
      <c r="I254" s="1" t="str">
        <f t="shared" ca="1" si="74"/>
        <v>South</v>
      </c>
      <c r="J254" s="1" t="str">
        <f t="shared" ca="1" si="75"/>
        <v>Delhi</v>
      </c>
      <c r="K254" s="1" t="str">
        <f t="shared" ca="1" si="76"/>
        <v>Chennai</v>
      </c>
      <c r="L254" s="1" t="str">
        <f t="shared" ca="1" si="77"/>
        <v>Furniture</v>
      </c>
      <c r="M254" s="1" t="str">
        <f t="shared" ca="1" si="78"/>
        <v>Laptop</v>
      </c>
      <c r="N254" s="1" t="str">
        <f t="shared" ca="1" si="79"/>
        <v>A4 Paper</v>
      </c>
      <c r="O254" s="1">
        <f t="shared" ca="1" si="80"/>
        <v>17141</v>
      </c>
      <c r="P254" s="1">
        <f t="shared" ca="1" si="81"/>
        <v>1</v>
      </c>
      <c r="Q254" s="19">
        <f t="shared" ca="1" si="82"/>
        <v>0.1</v>
      </c>
      <c r="R254" s="1">
        <f t="shared" ca="1" si="83"/>
        <v>1371.2799999999997</v>
      </c>
      <c r="S254" s="1">
        <f t="shared" ca="1" si="66"/>
        <v>1</v>
      </c>
      <c r="T254" s="19">
        <f t="shared" ca="1" si="67"/>
        <v>7.9999999999999988E-2</v>
      </c>
      <c r="U254" s="1" t="str">
        <f t="shared" ca="1" si="68"/>
        <v>Low Discount</v>
      </c>
    </row>
    <row r="255" spans="1:21" ht="15.6" customHeight="1" x14ac:dyDescent="0.3">
      <c r="A255" s="1" t="str">
        <f t="shared" si="63"/>
        <v>ORD-254</v>
      </c>
      <c r="B255" s="10">
        <f t="shared" ca="1" si="64"/>
        <v>45324</v>
      </c>
      <c r="C255" s="7">
        <f t="shared" ca="1" si="65"/>
        <v>45325</v>
      </c>
      <c r="D255" s="1" t="str">
        <f t="shared" ca="1" si="69"/>
        <v>Same Day</v>
      </c>
      <c r="E255" s="1" t="str">
        <f t="shared" ca="1" si="70"/>
        <v>CU-292</v>
      </c>
      <c r="F255" s="1" t="str">
        <f t="shared" ca="1" si="71"/>
        <v>Arjun Malhotra</v>
      </c>
      <c r="G255" s="1" t="str">
        <f t="shared" ca="1" si="72"/>
        <v>Corporate</v>
      </c>
      <c r="H255" s="1" t="str">
        <f t="shared" si="73"/>
        <v>India</v>
      </c>
      <c r="I255" s="1" t="str">
        <f t="shared" ca="1" si="74"/>
        <v>South</v>
      </c>
      <c r="J255" s="1" t="str">
        <f t="shared" ca="1" si="75"/>
        <v>Karnataka</v>
      </c>
      <c r="K255" s="1" t="str">
        <f t="shared" ca="1" si="76"/>
        <v>Delhi</v>
      </c>
      <c r="L255" s="1" t="str">
        <f t="shared" ca="1" si="77"/>
        <v>Furniture</v>
      </c>
      <c r="M255" s="1" t="str">
        <f t="shared" ca="1" si="78"/>
        <v>Mobile</v>
      </c>
      <c r="N255" s="1" t="str">
        <f t="shared" ca="1" si="79"/>
        <v>Office Chair</v>
      </c>
      <c r="O255" s="1">
        <f t="shared" ca="1" si="80"/>
        <v>21773</v>
      </c>
      <c r="P255" s="1">
        <f t="shared" ca="1" si="81"/>
        <v>3</v>
      </c>
      <c r="Q255" s="19">
        <f t="shared" ca="1" si="82"/>
        <v>0.1</v>
      </c>
      <c r="R255" s="1">
        <f t="shared" ca="1" si="83"/>
        <v>1741.8399999999997</v>
      </c>
      <c r="S255" s="1">
        <f t="shared" ca="1" si="66"/>
        <v>1</v>
      </c>
      <c r="T255" s="19">
        <f t="shared" ca="1" si="67"/>
        <v>7.9999999999999988E-2</v>
      </c>
      <c r="U255" s="1" t="str">
        <f t="shared" ca="1" si="68"/>
        <v>Low Discount</v>
      </c>
    </row>
    <row r="256" spans="1:21" ht="15.6" customHeight="1" x14ac:dyDescent="0.3">
      <c r="A256" s="1" t="str">
        <f t="shared" si="63"/>
        <v>ORD-255</v>
      </c>
      <c r="B256" s="10">
        <f t="shared" ca="1" si="64"/>
        <v>45508</v>
      </c>
      <c r="C256" s="7">
        <f t="shared" ca="1" si="65"/>
        <v>45513</v>
      </c>
      <c r="D256" s="1" t="str">
        <f t="shared" ca="1" si="69"/>
        <v>Second Class</v>
      </c>
      <c r="E256" s="1" t="str">
        <f t="shared" ca="1" si="70"/>
        <v>CU-682</v>
      </c>
      <c r="F256" s="1" t="str">
        <f t="shared" ca="1" si="71"/>
        <v>Ravi Mehta</v>
      </c>
      <c r="G256" s="1" t="str">
        <f t="shared" ca="1" si="72"/>
        <v>Home Office</v>
      </c>
      <c r="H256" s="1" t="str">
        <f t="shared" si="73"/>
        <v>India</v>
      </c>
      <c r="I256" s="1" t="str">
        <f t="shared" ca="1" si="74"/>
        <v>West</v>
      </c>
      <c r="J256" s="1" t="str">
        <f t="shared" ca="1" si="75"/>
        <v>West Bengal</v>
      </c>
      <c r="K256" s="1" t="str">
        <f t="shared" ca="1" si="76"/>
        <v>Ahmedabad</v>
      </c>
      <c r="L256" s="1" t="str">
        <f t="shared" ca="1" si="77"/>
        <v>Technology</v>
      </c>
      <c r="M256" s="1" t="str">
        <f t="shared" ca="1" si="78"/>
        <v>Paper</v>
      </c>
      <c r="N256" s="1" t="str">
        <f t="shared" ca="1" si="79"/>
        <v>HP Pavilion</v>
      </c>
      <c r="O256" s="1">
        <f t="shared" ca="1" si="80"/>
        <v>27311</v>
      </c>
      <c r="P256" s="1">
        <f t="shared" ca="1" si="81"/>
        <v>7</v>
      </c>
      <c r="Q256" s="19">
        <f t="shared" ca="1" si="82"/>
        <v>0.1</v>
      </c>
      <c r="R256" s="1">
        <f t="shared" ca="1" si="83"/>
        <v>2184.8799999999997</v>
      </c>
      <c r="S256" s="1">
        <f t="shared" ca="1" si="66"/>
        <v>5</v>
      </c>
      <c r="T256" s="19">
        <f t="shared" ca="1" si="67"/>
        <v>7.9999999999999988E-2</v>
      </c>
      <c r="U256" s="1" t="str">
        <f t="shared" ca="1" si="68"/>
        <v>Low Discount</v>
      </c>
    </row>
    <row r="257" spans="1:21" ht="15.6" customHeight="1" x14ac:dyDescent="0.3">
      <c r="A257" s="1" t="str">
        <f t="shared" si="63"/>
        <v>ORD-256</v>
      </c>
      <c r="B257" s="10">
        <f t="shared" ca="1" si="64"/>
        <v>45351</v>
      </c>
      <c r="C257" s="7">
        <f t="shared" ca="1" si="65"/>
        <v>45352</v>
      </c>
      <c r="D257" s="1" t="str">
        <f t="shared" ca="1" si="69"/>
        <v>Same Day</v>
      </c>
      <c r="E257" s="1" t="str">
        <f t="shared" ca="1" si="70"/>
        <v>CU-741</v>
      </c>
      <c r="F257" s="1" t="str">
        <f t="shared" ca="1" si="71"/>
        <v>Priya Singh</v>
      </c>
      <c r="G257" s="1" t="str">
        <f t="shared" ca="1" si="72"/>
        <v>Home Office</v>
      </c>
      <c r="H257" s="1" t="str">
        <f t="shared" si="73"/>
        <v>India</v>
      </c>
      <c r="I257" s="1" t="str">
        <f t="shared" ca="1" si="74"/>
        <v>West</v>
      </c>
      <c r="J257" s="1" t="str">
        <f t="shared" ca="1" si="75"/>
        <v>Maharashtra</v>
      </c>
      <c r="K257" s="1" t="str">
        <f t="shared" ca="1" si="76"/>
        <v>Chennai</v>
      </c>
      <c r="L257" s="1" t="str">
        <f t="shared" ca="1" si="77"/>
        <v>Furniture</v>
      </c>
      <c r="M257" s="1" t="str">
        <f t="shared" ca="1" si="78"/>
        <v>Table</v>
      </c>
      <c r="N257" s="1" t="str">
        <f t="shared" ca="1" si="79"/>
        <v>Office Chair</v>
      </c>
      <c r="O257" s="1">
        <f t="shared" ca="1" si="80"/>
        <v>24770</v>
      </c>
      <c r="P257" s="1">
        <f t="shared" ca="1" si="81"/>
        <v>5</v>
      </c>
      <c r="Q257" s="19">
        <f t="shared" ca="1" si="82"/>
        <v>0</v>
      </c>
      <c r="R257" s="1">
        <f t="shared" ca="1" si="83"/>
        <v>4458.5999999999995</v>
      </c>
      <c r="S257" s="1">
        <f t="shared" ca="1" si="66"/>
        <v>1</v>
      </c>
      <c r="T257" s="19">
        <f t="shared" ca="1" si="67"/>
        <v>0.17999999999999997</v>
      </c>
      <c r="U257" s="1" t="str">
        <f t="shared" ca="1" si="68"/>
        <v>Low Discount</v>
      </c>
    </row>
    <row r="258" spans="1:21" ht="15.6" customHeight="1" x14ac:dyDescent="0.3">
      <c r="A258" s="1" t="str">
        <f t="shared" ref="A258:A321" si="84">"ORD-"&amp;(ROW()-1)</f>
        <v>ORD-257</v>
      </c>
      <c r="B258" s="10">
        <f t="shared" ref="B258:B321" ca="1" si="85">DATE(2024,1,1)+RANDBETWEEN(1,365)</f>
        <v>45488</v>
      </c>
      <c r="C258" s="7">
        <f t="shared" ref="C258:C321" ca="1" si="86">B258+RANDBETWEEN(0,5)</f>
        <v>45490</v>
      </c>
      <c r="D258" s="1" t="str">
        <f t="shared" ca="1" si="69"/>
        <v>Same Day</v>
      </c>
      <c r="E258" s="1" t="str">
        <f t="shared" ca="1" si="70"/>
        <v>CU-948</v>
      </c>
      <c r="F258" s="1" t="str">
        <f t="shared" ca="1" si="71"/>
        <v>Ravi Mehta</v>
      </c>
      <c r="G258" s="1" t="str">
        <f t="shared" ca="1" si="72"/>
        <v>Corporate</v>
      </c>
      <c r="H258" s="1" t="str">
        <f t="shared" si="73"/>
        <v>India</v>
      </c>
      <c r="I258" s="1" t="str">
        <f t="shared" ca="1" si="74"/>
        <v>West</v>
      </c>
      <c r="J258" s="1" t="str">
        <f t="shared" ca="1" si="75"/>
        <v>West Bengal</v>
      </c>
      <c r="K258" s="1" t="str">
        <f t="shared" ca="1" si="76"/>
        <v>Chennai</v>
      </c>
      <c r="L258" s="1" t="str">
        <f t="shared" ca="1" si="77"/>
        <v>Furniture</v>
      </c>
      <c r="M258" s="1" t="str">
        <f t="shared" ca="1" si="78"/>
        <v>Laptop</v>
      </c>
      <c r="N258" s="1" t="str">
        <f t="shared" ca="1" si="79"/>
        <v>Office Table</v>
      </c>
      <c r="O258" s="1">
        <f t="shared" ca="1" si="80"/>
        <v>56085</v>
      </c>
      <c r="P258" s="1">
        <f t="shared" ca="1" si="81"/>
        <v>7</v>
      </c>
      <c r="Q258" s="19">
        <f t="shared" ca="1" si="82"/>
        <v>0.3</v>
      </c>
      <c r="R258" s="1">
        <f t="shared" ca="1" si="83"/>
        <v>-6730.2</v>
      </c>
      <c r="S258" s="1">
        <f t="shared" ref="S258:S321" ca="1" si="87">C258-B258</f>
        <v>2</v>
      </c>
      <c r="T258" s="19">
        <f t="shared" ref="T258:T321" ca="1" si="88">R258/O258</f>
        <v>-0.12</v>
      </c>
      <c r="U258" s="1" t="str">
        <f t="shared" ref="U258:U321" ca="1" si="89">IF(Q258&gt;=0.2,"High Discount","Low Discount")</f>
        <v>High Discount</v>
      </c>
    </row>
    <row r="259" spans="1:21" ht="15.6" customHeight="1" x14ac:dyDescent="0.3">
      <c r="A259" s="1" t="str">
        <f t="shared" si="84"/>
        <v>ORD-258</v>
      </c>
      <c r="B259" s="10">
        <f t="shared" ca="1" si="85"/>
        <v>45563</v>
      </c>
      <c r="C259" s="7">
        <f t="shared" ca="1" si="86"/>
        <v>45566</v>
      </c>
      <c r="D259" s="1" t="str">
        <f t="shared" ref="D259:D263" ca="1" si="90">CHOOSE(RANDBETWEEN(1,3),"Standard Class","Second Class","Same Day")</f>
        <v>Same Day</v>
      </c>
      <c r="E259" s="1" t="str">
        <f t="shared" ref="E259:E322" ca="1" si="91">"CU-"&amp;RANDBETWEEN(100,999)</f>
        <v>CU-235</v>
      </c>
      <c r="F259" s="1" t="str">
        <f t="shared" ref="F259:F322" ca="1" si="92">CHOOSE(RANDBETWEEN(1,8),"Rahul Sharma","Amit Verma","Priya Singh","Sunil Kumar","Neha Gupta","Ravi Mehta","Pooja Yadav","Arjun Malhotra")</f>
        <v>Priya Singh</v>
      </c>
      <c r="G259" s="1" t="str">
        <f t="shared" ref="G259:G322" ca="1" si="93">CHOOSE(RANDBETWEEN(1,3),"Consumer","Corporate","Home Office")</f>
        <v>Consumer</v>
      </c>
      <c r="H259" s="1" t="str">
        <f t="shared" ref="H259:H322" si="94">"India"</f>
        <v>India</v>
      </c>
      <c r="I259" s="1" t="str">
        <f t="shared" ref="I259:I322" ca="1" si="95">CHOOSE(RANDBETWEEN(1,4),"North","South","East","West")</f>
        <v>East</v>
      </c>
      <c r="J259" s="1" t="str">
        <f t="shared" ref="J259:J322" ca="1" si="96">CHOOSE(RANDBETWEEN(1,6),"Delhi","Maharashtra","Karnataka","West Bengal","Gujarat","Tamil Nadu")</f>
        <v>West Bengal</v>
      </c>
      <c r="K259" s="1" t="str">
        <f t="shared" ref="K259:K322" ca="1" si="97">CHOOSE(RANDBETWEEN(1,6),"Delhi","Mumbai","Bangalore","Kolkata","Ahmedabad","Chennai")</f>
        <v>Chennai</v>
      </c>
      <c r="L259" s="1" t="str">
        <f t="shared" ref="L259:L322" ca="1" si="98">CHOOSE(RANDBETWEEN(1,3),"Technology","Furniture","Office Supplies")</f>
        <v>Technology</v>
      </c>
      <c r="M259" s="1" t="str">
        <f t="shared" ref="M259:M322" ca="1" si="99">CHOOSE(RANDBETWEEN(1,5),"Mobile","Laptop","Chair","Table","Paper")</f>
        <v>Mobile</v>
      </c>
      <c r="N259" s="1" t="str">
        <f t="shared" ref="N259:N322" ca="1" si="100">CHOOSE(RANDBETWEEN(1,6),"Samsung Galaxy","HP Pavilion","Office Chair","Office Table","A4 Paper","Wireless Mouse")</f>
        <v>Office Chair</v>
      </c>
      <c r="O259" s="1">
        <f t="shared" ref="O259:O322" ca="1" si="101">RANDBETWEEN(500,60000)</f>
        <v>25321</v>
      </c>
      <c r="P259" s="1">
        <f t="shared" ref="P259:P322" ca="1" si="102">RANDBETWEEN(1,10)</f>
        <v>4</v>
      </c>
      <c r="Q259" s="19">
        <f t="shared" ref="Q259:Q322" ca="1" si="103">CHOOSE(RANDBETWEEN(1,5),0,0.05,0.1,0.2,0.3)</f>
        <v>0.2</v>
      </c>
      <c r="R259" s="1">
        <f t="shared" ref="R259:R322" ca="1" si="104">O259*(0.18-Q259)</f>
        <v>-506.42000000000047</v>
      </c>
      <c r="S259" s="1">
        <f t="shared" ca="1" si="87"/>
        <v>3</v>
      </c>
      <c r="T259" s="19">
        <f t="shared" ca="1" si="88"/>
        <v>-2.0000000000000018E-2</v>
      </c>
      <c r="U259" s="1" t="str">
        <f t="shared" ca="1" si="89"/>
        <v>High Discount</v>
      </c>
    </row>
    <row r="260" spans="1:21" ht="15.6" customHeight="1" x14ac:dyDescent="0.3">
      <c r="A260" s="1" t="str">
        <f t="shared" si="84"/>
        <v>ORD-259</v>
      </c>
      <c r="B260" s="10">
        <f t="shared" ca="1" si="85"/>
        <v>45374</v>
      </c>
      <c r="C260" s="7">
        <f t="shared" ca="1" si="86"/>
        <v>45375</v>
      </c>
      <c r="D260" s="1" t="str">
        <f t="shared" ca="1" si="90"/>
        <v>Same Day</v>
      </c>
      <c r="E260" s="1" t="str">
        <f t="shared" ca="1" si="91"/>
        <v>CU-927</v>
      </c>
      <c r="F260" s="1" t="str">
        <f t="shared" ca="1" si="92"/>
        <v>Ravi Mehta</v>
      </c>
      <c r="G260" s="1" t="str">
        <f t="shared" ca="1" si="93"/>
        <v>Consumer</v>
      </c>
      <c r="H260" s="1" t="str">
        <f t="shared" si="94"/>
        <v>India</v>
      </c>
      <c r="I260" s="1" t="str">
        <f t="shared" ca="1" si="95"/>
        <v>West</v>
      </c>
      <c r="J260" s="1" t="str">
        <f t="shared" ca="1" si="96"/>
        <v>Maharashtra</v>
      </c>
      <c r="K260" s="1" t="str">
        <f t="shared" ca="1" si="97"/>
        <v>Kolkata</v>
      </c>
      <c r="L260" s="1" t="str">
        <f t="shared" ca="1" si="98"/>
        <v>Technology</v>
      </c>
      <c r="M260" s="1" t="str">
        <f t="shared" ca="1" si="99"/>
        <v>Laptop</v>
      </c>
      <c r="N260" s="1" t="str">
        <f t="shared" ca="1" si="100"/>
        <v>A4 Paper</v>
      </c>
      <c r="O260" s="1">
        <f t="shared" ca="1" si="101"/>
        <v>43436</v>
      </c>
      <c r="P260" s="1">
        <f t="shared" ca="1" si="102"/>
        <v>10</v>
      </c>
      <c r="Q260" s="19">
        <f t="shared" ca="1" si="103"/>
        <v>0.3</v>
      </c>
      <c r="R260" s="1">
        <f t="shared" ca="1" si="104"/>
        <v>-5212.32</v>
      </c>
      <c r="S260" s="1">
        <f t="shared" ca="1" si="87"/>
        <v>1</v>
      </c>
      <c r="T260" s="19">
        <f t="shared" ca="1" si="88"/>
        <v>-0.12</v>
      </c>
      <c r="U260" s="1" t="str">
        <f t="shared" ca="1" si="89"/>
        <v>High Discount</v>
      </c>
    </row>
    <row r="261" spans="1:21" ht="15.6" customHeight="1" x14ac:dyDescent="0.3">
      <c r="A261" s="1" t="str">
        <f t="shared" si="84"/>
        <v>ORD-260</v>
      </c>
      <c r="B261" s="10">
        <f t="shared" ca="1" si="85"/>
        <v>45515</v>
      </c>
      <c r="C261" s="7">
        <f t="shared" ca="1" si="86"/>
        <v>45520</v>
      </c>
      <c r="D261" s="1" t="str">
        <f t="shared" ca="1" si="90"/>
        <v>Same Day</v>
      </c>
      <c r="E261" s="1" t="str">
        <f t="shared" ca="1" si="91"/>
        <v>CU-825</v>
      </c>
      <c r="F261" s="1" t="str">
        <f t="shared" ca="1" si="92"/>
        <v>Amit Verma</v>
      </c>
      <c r="G261" s="1" t="str">
        <f t="shared" ca="1" si="93"/>
        <v>Corporate</v>
      </c>
      <c r="H261" s="1" t="str">
        <f t="shared" si="94"/>
        <v>India</v>
      </c>
      <c r="I261" s="1" t="str">
        <f t="shared" ca="1" si="95"/>
        <v>West</v>
      </c>
      <c r="J261" s="1" t="str">
        <f t="shared" ca="1" si="96"/>
        <v>Karnataka</v>
      </c>
      <c r="K261" s="1" t="str">
        <f t="shared" ca="1" si="97"/>
        <v>Chennai</v>
      </c>
      <c r="L261" s="1" t="str">
        <f t="shared" ca="1" si="98"/>
        <v>Technology</v>
      </c>
      <c r="M261" s="1" t="str">
        <f t="shared" ca="1" si="99"/>
        <v>Table</v>
      </c>
      <c r="N261" s="1" t="str">
        <f t="shared" ca="1" si="100"/>
        <v>Wireless Mouse</v>
      </c>
      <c r="O261" s="1">
        <f t="shared" ca="1" si="101"/>
        <v>541</v>
      </c>
      <c r="P261" s="1">
        <f t="shared" ca="1" si="102"/>
        <v>3</v>
      </c>
      <c r="Q261" s="19">
        <f t="shared" ca="1" si="103"/>
        <v>0</v>
      </c>
      <c r="R261" s="1">
        <f t="shared" ca="1" si="104"/>
        <v>97.38</v>
      </c>
      <c r="S261" s="1">
        <f t="shared" ca="1" si="87"/>
        <v>5</v>
      </c>
      <c r="T261" s="19">
        <f t="shared" ca="1" si="88"/>
        <v>0.18</v>
      </c>
      <c r="U261" s="1" t="str">
        <f t="shared" ca="1" si="89"/>
        <v>Low Discount</v>
      </c>
    </row>
    <row r="262" spans="1:21" ht="15.6" customHeight="1" x14ac:dyDescent="0.3">
      <c r="A262" s="1" t="str">
        <f t="shared" si="84"/>
        <v>ORD-261</v>
      </c>
      <c r="B262" s="10">
        <f t="shared" ca="1" si="85"/>
        <v>45523</v>
      </c>
      <c r="C262" s="7">
        <f t="shared" ca="1" si="86"/>
        <v>45525</v>
      </c>
      <c r="D262" s="1" t="str">
        <f t="shared" ca="1" si="90"/>
        <v>Standard Class</v>
      </c>
      <c r="E262" s="1" t="str">
        <f t="shared" ca="1" si="91"/>
        <v>CU-975</v>
      </c>
      <c r="F262" s="1" t="str">
        <f t="shared" ca="1" si="92"/>
        <v>Sunil Kumar</v>
      </c>
      <c r="G262" s="1" t="str">
        <f t="shared" ca="1" si="93"/>
        <v>Corporate</v>
      </c>
      <c r="H262" s="1" t="str">
        <f t="shared" si="94"/>
        <v>India</v>
      </c>
      <c r="I262" s="1" t="str">
        <f t="shared" ca="1" si="95"/>
        <v>North</v>
      </c>
      <c r="J262" s="1" t="str">
        <f t="shared" ca="1" si="96"/>
        <v>Karnataka</v>
      </c>
      <c r="K262" s="1" t="str">
        <f t="shared" ca="1" si="97"/>
        <v>Bangalore</v>
      </c>
      <c r="L262" s="1" t="str">
        <f t="shared" ca="1" si="98"/>
        <v>Furniture</v>
      </c>
      <c r="M262" s="1" t="str">
        <f t="shared" ca="1" si="99"/>
        <v>Paper</v>
      </c>
      <c r="N262" s="1" t="str">
        <f t="shared" ca="1" si="100"/>
        <v>A4 Paper</v>
      </c>
      <c r="O262" s="1">
        <f t="shared" ca="1" si="101"/>
        <v>43732</v>
      </c>
      <c r="P262" s="1">
        <f t="shared" ca="1" si="102"/>
        <v>8</v>
      </c>
      <c r="Q262" s="19">
        <f t="shared" ca="1" si="103"/>
        <v>0.2</v>
      </c>
      <c r="R262" s="1">
        <f t="shared" ca="1" si="104"/>
        <v>-874.64000000000078</v>
      </c>
      <c r="S262" s="1">
        <f t="shared" ca="1" si="87"/>
        <v>2</v>
      </c>
      <c r="T262" s="19">
        <f t="shared" ca="1" si="88"/>
        <v>-2.0000000000000018E-2</v>
      </c>
      <c r="U262" s="1" t="str">
        <f t="shared" ca="1" si="89"/>
        <v>High Discount</v>
      </c>
    </row>
    <row r="263" spans="1:21" ht="15.6" customHeight="1" x14ac:dyDescent="0.3">
      <c r="A263" s="1" t="str">
        <f t="shared" si="84"/>
        <v>ORD-262</v>
      </c>
      <c r="B263" s="10">
        <f t="shared" ca="1" si="85"/>
        <v>45515</v>
      </c>
      <c r="C263" s="7">
        <f t="shared" ca="1" si="86"/>
        <v>45515</v>
      </c>
      <c r="D263" s="1" t="str">
        <f t="shared" ca="1" si="90"/>
        <v>Standard Class</v>
      </c>
      <c r="E263" s="1" t="str">
        <f t="shared" ca="1" si="91"/>
        <v>CU-389</v>
      </c>
      <c r="F263" s="1" t="str">
        <f t="shared" ca="1" si="92"/>
        <v>Arjun Malhotra</v>
      </c>
      <c r="G263" s="1" t="str">
        <f t="shared" ca="1" si="93"/>
        <v>Consumer</v>
      </c>
      <c r="H263" s="1" t="str">
        <f t="shared" si="94"/>
        <v>India</v>
      </c>
      <c r="I263" s="1" t="str">
        <f t="shared" ca="1" si="95"/>
        <v>South</v>
      </c>
      <c r="J263" s="1" t="str">
        <f t="shared" ca="1" si="96"/>
        <v>Karnataka</v>
      </c>
      <c r="K263" s="1" t="str">
        <f t="shared" ca="1" si="97"/>
        <v>Ahmedabad</v>
      </c>
      <c r="L263" s="1" t="str">
        <f t="shared" ca="1" si="98"/>
        <v>Office Supplies</v>
      </c>
      <c r="M263" s="1" t="str">
        <f t="shared" ca="1" si="99"/>
        <v>Mobile</v>
      </c>
      <c r="N263" s="1" t="str">
        <f t="shared" ca="1" si="100"/>
        <v>Samsung Galaxy</v>
      </c>
      <c r="O263" s="1">
        <f t="shared" ca="1" si="101"/>
        <v>7730</v>
      </c>
      <c r="P263" s="1">
        <f t="shared" ca="1" si="102"/>
        <v>8</v>
      </c>
      <c r="Q263" s="19">
        <f t="shared" ca="1" si="103"/>
        <v>0.1</v>
      </c>
      <c r="R263" s="1">
        <f t="shared" ca="1" si="104"/>
        <v>618.39999999999986</v>
      </c>
      <c r="S263" s="1">
        <f t="shared" ca="1" si="87"/>
        <v>0</v>
      </c>
      <c r="T263" s="19">
        <f t="shared" ca="1" si="88"/>
        <v>7.9999999999999988E-2</v>
      </c>
      <c r="U263" s="1" t="str">
        <f t="shared" ca="1" si="89"/>
        <v>Low Discount</v>
      </c>
    </row>
    <row r="264" spans="1:21" ht="15.6" customHeight="1" x14ac:dyDescent="0.3">
      <c r="A264" s="1" t="str">
        <f t="shared" si="84"/>
        <v>ORD-263</v>
      </c>
      <c r="B264" s="10">
        <f t="shared" ca="1" si="85"/>
        <v>45519</v>
      </c>
      <c r="C264" s="7">
        <f t="shared" ca="1" si="86"/>
        <v>45522</v>
      </c>
      <c r="D264" s="1" t="str">
        <f ca="1">CHOOSE(RANDBETWEEN(1,3),"Standard Class","Second Class","Same Day")</f>
        <v>Standard Class</v>
      </c>
      <c r="E264" s="1" t="str">
        <f t="shared" ca="1" si="91"/>
        <v>CU-227</v>
      </c>
      <c r="F264" s="1" t="str">
        <f t="shared" ca="1" si="92"/>
        <v>Amit Verma</v>
      </c>
      <c r="G264" s="1" t="str">
        <f t="shared" ca="1" si="93"/>
        <v>Corporate</v>
      </c>
      <c r="H264" s="1" t="str">
        <f t="shared" si="94"/>
        <v>India</v>
      </c>
      <c r="I264" s="1" t="str">
        <f t="shared" ca="1" si="95"/>
        <v>West</v>
      </c>
      <c r="J264" s="1" t="str">
        <f t="shared" ca="1" si="96"/>
        <v>Delhi</v>
      </c>
      <c r="K264" s="1" t="str">
        <f t="shared" ca="1" si="97"/>
        <v>Delhi</v>
      </c>
      <c r="L264" s="1" t="str">
        <f t="shared" ca="1" si="98"/>
        <v>Furniture</v>
      </c>
      <c r="M264" s="1" t="str">
        <f t="shared" ca="1" si="99"/>
        <v>Chair</v>
      </c>
      <c r="N264" s="1" t="str">
        <f t="shared" ca="1" si="100"/>
        <v>Wireless Mouse</v>
      </c>
      <c r="O264" s="1">
        <f t="shared" ca="1" si="101"/>
        <v>10409</v>
      </c>
      <c r="P264" s="1">
        <f t="shared" ca="1" si="102"/>
        <v>6</v>
      </c>
      <c r="Q264" s="19">
        <f t="shared" ca="1" si="103"/>
        <v>0.1</v>
      </c>
      <c r="R264" s="1">
        <f t="shared" ca="1" si="104"/>
        <v>832.71999999999991</v>
      </c>
      <c r="S264" s="1">
        <f t="shared" ca="1" si="87"/>
        <v>3</v>
      </c>
      <c r="T264" s="19">
        <f t="shared" ca="1" si="88"/>
        <v>7.9999999999999988E-2</v>
      </c>
      <c r="U264" s="1" t="str">
        <f t="shared" ca="1" si="89"/>
        <v>Low Discount</v>
      </c>
    </row>
    <row r="265" spans="1:21" ht="15.6" customHeight="1" x14ac:dyDescent="0.3">
      <c r="A265" s="1" t="str">
        <f t="shared" si="84"/>
        <v>ORD-264</v>
      </c>
      <c r="B265" s="10">
        <f t="shared" ca="1" si="85"/>
        <v>45302</v>
      </c>
      <c r="C265" s="7">
        <f t="shared" ca="1" si="86"/>
        <v>45305</v>
      </c>
      <c r="D265" s="1" t="str">
        <f t="shared" ref="D265:D328" ca="1" si="105">CHOOSE(RANDBETWEEN(1,3),"Standard Class","Second Class","Same Day")</f>
        <v>Standard Class</v>
      </c>
      <c r="E265" s="1" t="str">
        <f t="shared" ca="1" si="91"/>
        <v>CU-916</v>
      </c>
      <c r="F265" s="1" t="str">
        <f t="shared" ca="1" si="92"/>
        <v>Pooja Yadav</v>
      </c>
      <c r="G265" s="1" t="str">
        <f t="shared" ca="1" si="93"/>
        <v>Corporate</v>
      </c>
      <c r="H265" s="1" t="str">
        <f t="shared" si="94"/>
        <v>India</v>
      </c>
      <c r="I265" s="1" t="str">
        <f t="shared" ca="1" si="95"/>
        <v>East</v>
      </c>
      <c r="J265" s="1" t="str">
        <f t="shared" ca="1" si="96"/>
        <v>Maharashtra</v>
      </c>
      <c r="K265" s="1" t="str">
        <f t="shared" ca="1" si="97"/>
        <v>Mumbai</v>
      </c>
      <c r="L265" s="1" t="str">
        <f t="shared" ca="1" si="98"/>
        <v>Technology</v>
      </c>
      <c r="M265" s="1" t="str">
        <f t="shared" ca="1" si="99"/>
        <v>Laptop</v>
      </c>
      <c r="N265" s="1" t="str">
        <f t="shared" ca="1" si="100"/>
        <v>Wireless Mouse</v>
      </c>
      <c r="O265" s="1">
        <f t="shared" ca="1" si="101"/>
        <v>4805</v>
      </c>
      <c r="P265" s="1">
        <f t="shared" ca="1" si="102"/>
        <v>3</v>
      </c>
      <c r="Q265" s="19">
        <f t="shared" ca="1" si="103"/>
        <v>0.2</v>
      </c>
      <c r="R265" s="1">
        <f t="shared" ca="1" si="104"/>
        <v>-96.10000000000008</v>
      </c>
      <c r="S265" s="1">
        <f t="shared" ca="1" si="87"/>
        <v>3</v>
      </c>
      <c r="T265" s="19">
        <f t="shared" ca="1" si="88"/>
        <v>-2.0000000000000018E-2</v>
      </c>
      <c r="U265" s="1" t="str">
        <f t="shared" ca="1" si="89"/>
        <v>High Discount</v>
      </c>
    </row>
    <row r="266" spans="1:21" ht="15.6" customHeight="1" x14ac:dyDescent="0.3">
      <c r="A266" s="1" t="str">
        <f t="shared" si="84"/>
        <v>ORD-265</v>
      </c>
      <c r="B266" s="10">
        <f t="shared" ca="1" si="85"/>
        <v>45341</v>
      </c>
      <c r="C266" s="7">
        <f t="shared" ca="1" si="86"/>
        <v>45345</v>
      </c>
      <c r="D266" s="1" t="str">
        <f t="shared" ca="1" si="105"/>
        <v>Standard Class</v>
      </c>
      <c r="E266" s="1" t="str">
        <f t="shared" ca="1" si="91"/>
        <v>CU-415</v>
      </c>
      <c r="F266" s="1" t="str">
        <f t="shared" ca="1" si="92"/>
        <v>Neha Gupta</v>
      </c>
      <c r="G266" s="1" t="str">
        <f t="shared" ca="1" si="93"/>
        <v>Consumer</v>
      </c>
      <c r="H266" s="1" t="str">
        <f t="shared" si="94"/>
        <v>India</v>
      </c>
      <c r="I266" s="1" t="str">
        <f t="shared" ca="1" si="95"/>
        <v>North</v>
      </c>
      <c r="J266" s="1" t="str">
        <f t="shared" ca="1" si="96"/>
        <v>Tamil Nadu</v>
      </c>
      <c r="K266" s="1" t="str">
        <f t="shared" ca="1" si="97"/>
        <v>Ahmedabad</v>
      </c>
      <c r="L266" s="1" t="str">
        <f t="shared" ca="1" si="98"/>
        <v>Technology</v>
      </c>
      <c r="M266" s="1" t="str">
        <f t="shared" ca="1" si="99"/>
        <v>Laptop</v>
      </c>
      <c r="N266" s="1" t="str">
        <f t="shared" ca="1" si="100"/>
        <v>Samsung Galaxy</v>
      </c>
      <c r="O266" s="1">
        <f t="shared" ca="1" si="101"/>
        <v>12873</v>
      </c>
      <c r="P266" s="1">
        <f t="shared" ca="1" si="102"/>
        <v>7</v>
      </c>
      <c r="Q266" s="19">
        <f t="shared" ca="1" si="103"/>
        <v>0.3</v>
      </c>
      <c r="R266" s="1">
        <f t="shared" ca="1" si="104"/>
        <v>-1544.76</v>
      </c>
      <c r="S266" s="1">
        <f t="shared" ca="1" si="87"/>
        <v>4</v>
      </c>
      <c r="T266" s="19">
        <f t="shared" ca="1" si="88"/>
        <v>-0.12</v>
      </c>
      <c r="U266" s="1" t="str">
        <f t="shared" ca="1" si="89"/>
        <v>High Discount</v>
      </c>
    </row>
    <row r="267" spans="1:21" ht="15.6" customHeight="1" x14ac:dyDescent="0.3">
      <c r="A267" s="1" t="str">
        <f t="shared" si="84"/>
        <v>ORD-266</v>
      </c>
      <c r="B267" s="10">
        <f t="shared" ca="1" si="85"/>
        <v>45640</v>
      </c>
      <c r="C267" s="7">
        <f t="shared" ca="1" si="86"/>
        <v>45644</v>
      </c>
      <c r="D267" s="1" t="str">
        <f t="shared" ca="1" si="105"/>
        <v>Standard Class</v>
      </c>
      <c r="E267" s="1" t="str">
        <f t="shared" ca="1" si="91"/>
        <v>CU-733</v>
      </c>
      <c r="F267" s="1" t="str">
        <f t="shared" ca="1" si="92"/>
        <v>Rahul Sharma</v>
      </c>
      <c r="G267" s="1" t="str">
        <f t="shared" ca="1" si="93"/>
        <v>Home Office</v>
      </c>
      <c r="H267" s="1" t="str">
        <f t="shared" si="94"/>
        <v>India</v>
      </c>
      <c r="I267" s="1" t="str">
        <f t="shared" ca="1" si="95"/>
        <v>North</v>
      </c>
      <c r="J267" s="1" t="str">
        <f t="shared" ca="1" si="96"/>
        <v>Gujarat</v>
      </c>
      <c r="K267" s="1" t="str">
        <f t="shared" ca="1" si="97"/>
        <v>Mumbai</v>
      </c>
      <c r="L267" s="1" t="str">
        <f t="shared" ca="1" si="98"/>
        <v>Office Supplies</v>
      </c>
      <c r="M267" s="1" t="str">
        <f t="shared" ca="1" si="99"/>
        <v>Chair</v>
      </c>
      <c r="N267" s="1" t="str">
        <f t="shared" ca="1" si="100"/>
        <v>Office Table</v>
      </c>
      <c r="O267" s="1">
        <f t="shared" ca="1" si="101"/>
        <v>42300</v>
      </c>
      <c r="P267" s="1">
        <f t="shared" ca="1" si="102"/>
        <v>6</v>
      </c>
      <c r="Q267" s="19">
        <f t="shared" ca="1" si="103"/>
        <v>0.05</v>
      </c>
      <c r="R267" s="1">
        <f t="shared" ca="1" si="104"/>
        <v>5499</v>
      </c>
      <c r="S267" s="1">
        <f t="shared" ca="1" si="87"/>
        <v>4</v>
      </c>
      <c r="T267" s="19">
        <f t="shared" ca="1" si="88"/>
        <v>0.13</v>
      </c>
      <c r="U267" s="1" t="str">
        <f t="shared" ca="1" si="89"/>
        <v>Low Discount</v>
      </c>
    </row>
    <row r="268" spans="1:21" ht="15.6" customHeight="1" x14ac:dyDescent="0.3">
      <c r="A268" s="1" t="str">
        <f t="shared" si="84"/>
        <v>ORD-267</v>
      </c>
      <c r="B268" s="10">
        <f t="shared" ca="1" si="85"/>
        <v>45548</v>
      </c>
      <c r="C268" s="7">
        <f t="shared" ca="1" si="86"/>
        <v>45553</v>
      </c>
      <c r="D268" s="1" t="str">
        <f t="shared" ca="1" si="105"/>
        <v>Standard Class</v>
      </c>
      <c r="E268" s="1" t="str">
        <f t="shared" ca="1" si="91"/>
        <v>CU-662</v>
      </c>
      <c r="F268" s="1" t="str">
        <f t="shared" ca="1" si="92"/>
        <v>Sunil Kumar</v>
      </c>
      <c r="G268" s="1" t="str">
        <f t="shared" ca="1" si="93"/>
        <v>Consumer</v>
      </c>
      <c r="H268" s="1" t="str">
        <f t="shared" si="94"/>
        <v>India</v>
      </c>
      <c r="I268" s="1" t="str">
        <f t="shared" ca="1" si="95"/>
        <v>North</v>
      </c>
      <c r="J268" s="1" t="str">
        <f t="shared" ca="1" si="96"/>
        <v>Tamil Nadu</v>
      </c>
      <c r="K268" s="1" t="str">
        <f t="shared" ca="1" si="97"/>
        <v>Ahmedabad</v>
      </c>
      <c r="L268" s="1" t="str">
        <f t="shared" ca="1" si="98"/>
        <v>Furniture</v>
      </c>
      <c r="M268" s="1" t="str">
        <f t="shared" ca="1" si="99"/>
        <v>Table</v>
      </c>
      <c r="N268" s="1" t="str">
        <f t="shared" ca="1" si="100"/>
        <v>HP Pavilion</v>
      </c>
      <c r="O268" s="1">
        <f t="shared" ca="1" si="101"/>
        <v>45798</v>
      </c>
      <c r="P268" s="1">
        <f t="shared" ca="1" si="102"/>
        <v>3</v>
      </c>
      <c r="Q268" s="19">
        <f t="shared" ca="1" si="103"/>
        <v>0.05</v>
      </c>
      <c r="R268" s="1">
        <f t="shared" ca="1" si="104"/>
        <v>5953.74</v>
      </c>
      <c r="S268" s="1">
        <f t="shared" ca="1" si="87"/>
        <v>5</v>
      </c>
      <c r="T268" s="19">
        <f t="shared" ca="1" si="88"/>
        <v>0.13</v>
      </c>
      <c r="U268" s="1" t="str">
        <f t="shared" ca="1" si="89"/>
        <v>Low Discount</v>
      </c>
    </row>
    <row r="269" spans="1:21" ht="15.6" customHeight="1" x14ac:dyDescent="0.3">
      <c r="A269" s="1" t="str">
        <f t="shared" si="84"/>
        <v>ORD-268</v>
      </c>
      <c r="B269" s="10">
        <f t="shared" ca="1" si="85"/>
        <v>45524</v>
      </c>
      <c r="C269" s="7">
        <f t="shared" ca="1" si="86"/>
        <v>45529</v>
      </c>
      <c r="D269" s="1" t="str">
        <f t="shared" ca="1" si="105"/>
        <v>Second Class</v>
      </c>
      <c r="E269" s="1" t="str">
        <f t="shared" ca="1" si="91"/>
        <v>CU-566</v>
      </c>
      <c r="F269" s="1" t="str">
        <f t="shared" ca="1" si="92"/>
        <v>Neha Gupta</v>
      </c>
      <c r="G269" s="1" t="str">
        <f t="shared" ca="1" si="93"/>
        <v>Home Office</v>
      </c>
      <c r="H269" s="1" t="str">
        <f t="shared" si="94"/>
        <v>India</v>
      </c>
      <c r="I269" s="1" t="str">
        <f t="shared" ca="1" si="95"/>
        <v>East</v>
      </c>
      <c r="J269" s="1" t="str">
        <f t="shared" ca="1" si="96"/>
        <v>Gujarat</v>
      </c>
      <c r="K269" s="1" t="str">
        <f t="shared" ca="1" si="97"/>
        <v>Mumbai</v>
      </c>
      <c r="L269" s="1" t="str">
        <f t="shared" ca="1" si="98"/>
        <v>Furniture</v>
      </c>
      <c r="M269" s="1" t="str">
        <f t="shared" ca="1" si="99"/>
        <v>Mobile</v>
      </c>
      <c r="N269" s="1" t="str">
        <f t="shared" ca="1" si="100"/>
        <v>Office Chair</v>
      </c>
      <c r="O269" s="1">
        <f t="shared" ca="1" si="101"/>
        <v>8501</v>
      </c>
      <c r="P269" s="1">
        <f t="shared" ca="1" si="102"/>
        <v>6</v>
      </c>
      <c r="Q269" s="19">
        <f t="shared" ca="1" si="103"/>
        <v>0</v>
      </c>
      <c r="R269" s="1">
        <f t="shared" ca="1" si="104"/>
        <v>1530.1799999999998</v>
      </c>
      <c r="S269" s="1">
        <f t="shared" ca="1" si="87"/>
        <v>5</v>
      </c>
      <c r="T269" s="19">
        <f t="shared" ca="1" si="88"/>
        <v>0.18</v>
      </c>
      <c r="U269" s="1" t="str">
        <f t="shared" ca="1" si="89"/>
        <v>Low Discount</v>
      </c>
    </row>
    <row r="270" spans="1:21" ht="15.6" customHeight="1" x14ac:dyDescent="0.3">
      <c r="A270" s="1" t="str">
        <f t="shared" si="84"/>
        <v>ORD-269</v>
      </c>
      <c r="B270" s="10">
        <f t="shared" ca="1" si="85"/>
        <v>45326</v>
      </c>
      <c r="C270" s="7">
        <f t="shared" ca="1" si="86"/>
        <v>45329</v>
      </c>
      <c r="D270" s="1" t="str">
        <f t="shared" ca="1" si="105"/>
        <v>Second Class</v>
      </c>
      <c r="E270" s="1" t="str">
        <f t="shared" ca="1" si="91"/>
        <v>CU-698</v>
      </c>
      <c r="F270" s="1" t="str">
        <f t="shared" ca="1" si="92"/>
        <v>Priya Singh</v>
      </c>
      <c r="G270" s="1" t="str">
        <f t="shared" ca="1" si="93"/>
        <v>Consumer</v>
      </c>
      <c r="H270" s="1" t="str">
        <f t="shared" si="94"/>
        <v>India</v>
      </c>
      <c r="I270" s="1" t="str">
        <f t="shared" ca="1" si="95"/>
        <v>West</v>
      </c>
      <c r="J270" s="1" t="str">
        <f t="shared" ca="1" si="96"/>
        <v>Maharashtra</v>
      </c>
      <c r="K270" s="1" t="str">
        <f t="shared" ca="1" si="97"/>
        <v>Kolkata</v>
      </c>
      <c r="L270" s="1" t="str">
        <f t="shared" ca="1" si="98"/>
        <v>Technology</v>
      </c>
      <c r="M270" s="1" t="str">
        <f t="shared" ca="1" si="99"/>
        <v>Laptop</v>
      </c>
      <c r="N270" s="1" t="str">
        <f t="shared" ca="1" si="100"/>
        <v>Samsung Galaxy</v>
      </c>
      <c r="O270" s="1">
        <f t="shared" ca="1" si="101"/>
        <v>33553</v>
      </c>
      <c r="P270" s="1">
        <f t="shared" ca="1" si="102"/>
        <v>8</v>
      </c>
      <c r="Q270" s="19">
        <f t="shared" ca="1" si="103"/>
        <v>0</v>
      </c>
      <c r="R270" s="1">
        <f t="shared" ca="1" si="104"/>
        <v>6039.54</v>
      </c>
      <c r="S270" s="1">
        <f t="shared" ca="1" si="87"/>
        <v>3</v>
      </c>
      <c r="T270" s="19">
        <f t="shared" ca="1" si="88"/>
        <v>0.18</v>
      </c>
      <c r="U270" s="1" t="str">
        <f t="shared" ca="1" si="89"/>
        <v>Low Discount</v>
      </c>
    </row>
    <row r="271" spans="1:21" ht="15.6" customHeight="1" x14ac:dyDescent="0.3">
      <c r="A271" s="1" t="str">
        <f t="shared" si="84"/>
        <v>ORD-270</v>
      </c>
      <c r="B271" s="10">
        <f t="shared" ca="1" si="85"/>
        <v>45655</v>
      </c>
      <c r="C271" s="7">
        <f t="shared" ca="1" si="86"/>
        <v>45657</v>
      </c>
      <c r="D271" s="1" t="str">
        <f t="shared" ca="1" si="105"/>
        <v>Standard Class</v>
      </c>
      <c r="E271" s="1" t="str">
        <f t="shared" ca="1" si="91"/>
        <v>CU-517</v>
      </c>
      <c r="F271" s="1" t="str">
        <f t="shared" ca="1" si="92"/>
        <v>Arjun Malhotra</v>
      </c>
      <c r="G271" s="1" t="str">
        <f t="shared" ca="1" si="93"/>
        <v>Home Office</v>
      </c>
      <c r="H271" s="1" t="str">
        <f t="shared" si="94"/>
        <v>India</v>
      </c>
      <c r="I271" s="1" t="str">
        <f t="shared" ca="1" si="95"/>
        <v>West</v>
      </c>
      <c r="J271" s="1" t="str">
        <f t="shared" ca="1" si="96"/>
        <v>Delhi</v>
      </c>
      <c r="K271" s="1" t="str">
        <f t="shared" ca="1" si="97"/>
        <v>Mumbai</v>
      </c>
      <c r="L271" s="1" t="str">
        <f t="shared" ca="1" si="98"/>
        <v>Technology</v>
      </c>
      <c r="M271" s="1" t="str">
        <f t="shared" ca="1" si="99"/>
        <v>Chair</v>
      </c>
      <c r="N271" s="1" t="str">
        <f t="shared" ca="1" si="100"/>
        <v>Samsung Galaxy</v>
      </c>
      <c r="O271" s="1">
        <f t="shared" ca="1" si="101"/>
        <v>50948</v>
      </c>
      <c r="P271" s="1">
        <f t="shared" ca="1" si="102"/>
        <v>3</v>
      </c>
      <c r="Q271" s="19">
        <f t="shared" ca="1" si="103"/>
        <v>0.1</v>
      </c>
      <c r="R271" s="1">
        <f t="shared" ca="1" si="104"/>
        <v>4075.8399999999992</v>
      </c>
      <c r="S271" s="1">
        <f t="shared" ca="1" si="87"/>
        <v>2</v>
      </c>
      <c r="T271" s="19">
        <f t="shared" ca="1" si="88"/>
        <v>7.9999999999999988E-2</v>
      </c>
      <c r="U271" s="1" t="str">
        <f t="shared" ca="1" si="89"/>
        <v>Low Discount</v>
      </c>
    </row>
    <row r="272" spans="1:21" ht="15.6" customHeight="1" x14ac:dyDescent="0.3">
      <c r="A272" s="1" t="str">
        <f t="shared" si="84"/>
        <v>ORD-271</v>
      </c>
      <c r="B272" s="10">
        <f t="shared" ca="1" si="85"/>
        <v>45418</v>
      </c>
      <c r="C272" s="7">
        <f t="shared" ca="1" si="86"/>
        <v>45419</v>
      </c>
      <c r="D272" s="1" t="str">
        <f t="shared" ca="1" si="105"/>
        <v>Same Day</v>
      </c>
      <c r="E272" s="1" t="str">
        <f t="shared" ca="1" si="91"/>
        <v>CU-379</v>
      </c>
      <c r="F272" s="1" t="str">
        <f t="shared" ca="1" si="92"/>
        <v>Sunil Kumar</v>
      </c>
      <c r="G272" s="1" t="str">
        <f t="shared" ca="1" si="93"/>
        <v>Home Office</v>
      </c>
      <c r="H272" s="1" t="str">
        <f t="shared" si="94"/>
        <v>India</v>
      </c>
      <c r="I272" s="1" t="str">
        <f t="shared" ca="1" si="95"/>
        <v>South</v>
      </c>
      <c r="J272" s="1" t="str">
        <f t="shared" ca="1" si="96"/>
        <v>Tamil Nadu</v>
      </c>
      <c r="K272" s="1" t="str">
        <f t="shared" ca="1" si="97"/>
        <v>Delhi</v>
      </c>
      <c r="L272" s="1" t="str">
        <f t="shared" ca="1" si="98"/>
        <v>Office Supplies</v>
      </c>
      <c r="M272" s="1" t="str">
        <f t="shared" ca="1" si="99"/>
        <v>Mobile</v>
      </c>
      <c r="N272" s="1" t="str">
        <f t="shared" ca="1" si="100"/>
        <v>Office Chair</v>
      </c>
      <c r="O272" s="1">
        <f t="shared" ca="1" si="101"/>
        <v>19990</v>
      </c>
      <c r="P272" s="1">
        <f t="shared" ca="1" si="102"/>
        <v>8</v>
      </c>
      <c r="Q272" s="19">
        <f t="shared" ca="1" si="103"/>
        <v>0.3</v>
      </c>
      <c r="R272" s="1">
        <f t="shared" ca="1" si="104"/>
        <v>-2398.7999999999997</v>
      </c>
      <c r="S272" s="1">
        <f t="shared" ca="1" si="87"/>
        <v>1</v>
      </c>
      <c r="T272" s="19">
        <f t="shared" ca="1" si="88"/>
        <v>-0.11999999999999998</v>
      </c>
      <c r="U272" s="1" t="str">
        <f t="shared" ca="1" si="89"/>
        <v>High Discount</v>
      </c>
    </row>
    <row r="273" spans="1:21" ht="15.6" customHeight="1" x14ac:dyDescent="0.3">
      <c r="A273" s="1" t="str">
        <f t="shared" si="84"/>
        <v>ORD-272</v>
      </c>
      <c r="B273" s="10">
        <f t="shared" ca="1" si="85"/>
        <v>45365</v>
      </c>
      <c r="C273" s="7">
        <f t="shared" ca="1" si="86"/>
        <v>45365</v>
      </c>
      <c r="D273" s="1" t="str">
        <f t="shared" ca="1" si="105"/>
        <v>Standard Class</v>
      </c>
      <c r="E273" s="1" t="str">
        <f t="shared" ca="1" si="91"/>
        <v>CU-523</v>
      </c>
      <c r="F273" s="1" t="str">
        <f t="shared" ca="1" si="92"/>
        <v>Sunil Kumar</v>
      </c>
      <c r="G273" s="1" t="str">
        <f t="shared" ca="1" si="93"/>
        <v>Consumer</v>
      </c>
      <c r="H273" s="1" t="str">
        <f t="shared" si="94"/>
        <v>India</v>
      </c>
      <c r="I273" s="1" t="str">
        <f t="shared" ca="1" si="95"/>
        <v>North</v>
      </c>
      <c r="J273" s="1" t="str">
        <f t="shared" ca="1" si="96"/>
        <v>Gujarat</v>
      </c>
      <c r="K273" s="1" t="str">
        <f t="shared" ca="1" si="97"/>
        <v>Ahmedabad</v>
      </c>
      <c r="L273" s="1" t="str">
        <f t="shared" ca="1" si="98"/>
        <v>Office Supplies</v>
      </c>
      <c r="M273" s="1" t="str">
        <f t="shared" ca="1" si="99"/>
        <v>Chair</v>
      </c>
      <c r="N273" s="1" t="str">
        <f t="shared" ca="1" si="100"/>
        <v>Office Chair</v>
      </c>
      <c r="O273" s="1">
        <f t="shared" ca="1" si="101"/>
        <v>37294</v>
      </c>
      <c r="P273" s="1">
        <f t="shared" ca="1" si="102"/>
        <v>7</v>
      </c>
      <c r="Q273" s="19">
        <f t="shared" ca="1" si="103"/>
        <v>0</v>
      </c>
      <c r="R273" s="1">
        <f t="shared" ca="1" si="104"/>
        <v>6712.92</v>
      </c>
      <c r="S273" s="1">
        <f t="shared" ca="1" si="87"/>
        <v>0</v>
      </c>
      <c r="T273" s="19">
        <f t="shared" ca="1" si="88"/>
        <v>0.18</v>
      </c>
      <c r="U273" s="1" t="str">
        <f t="shared" ca="1" si="89"/>
        <v>Low Discount</v>
      </c>
    </row>
    <row r="274" spans="1:21" ht="15.6" customHeight="1" x14ac:dyDescent="0.3">
      <c r="A274" s="1" t="str">
        <f t="shared" si="84"/>
        <v>ORD-273</v>
      </c>
      <c r="B274" s="10">
        <f t="shared" ca="1" si="85"/>
        <v>45470</v>
      </c>
      <c r="C274" s="7">
        <f t="shared" ca="1" si="86"/>
        <v>45475</v>
      </c>
      <c r="D274" s="1" t="str">
        <f t="shared" ca="1" si="105"/>
        <v>Same Day</v>
      </c>
      <c r="E274" s="1" t="str">
        <f t="shared" ca="1" si="91"/>
        <v>CU-158</v>
      </c>
      <c r="F274" s="1" t="str">
        <f t="shared" ca="1" si="92"/>
        <v>Amit Verma</v>
      </c>
      <c r="G274" s="1" t="str">
        <f t="shared" ca="1" si="93"/>
        <v>Corporate</v>
      </c>
      <c r="H274" s="1" t="str">
        <f t="shared" si="94"/>
        <v>India</v>
      </c>
      <c r="I274" s="1" t="str">
        <f t="shared" ca="1" si="95"/>
        <v>North</v>
      </c>
      <c r="J274" s="1" t="str">
        <f t="shared" ca="1" si="96"/>
        <v>Tamil Nadu</v>
      </c>
      <c r="K274" s="1" t="str">
        <f t="shared" ca="1" si="97"/>
        <v>Kolkata</v>
      </c>
      <c r="L274" s="1" t="str">
        <f t="shared" ca="1" si="98"/>
        <v>Technology</v>
      </c>
      <c r="M274" s="1" t="str">
        <f t="shared" ca="1" si="99"/>
        <v>Mobile</v>
      </c>
      <c r="N274" s="1" t="str">
        <f t="shared" ca="1" si="100"/>
        <v>Office Chair</v>
      </c>
      <c r="O274" s="1">
        <f t="shared" ca="1" si="101"/>
        <v>12865</v>
      </c>
      <c r="P274" s="1">
        <f t="shared" ca="1" si="102"/>
        <v>1</v>
      </c>
      <c r="Q274" s="19">
        <f t="shared" ca="1" si="103"/>
        <v>0</v>
      </c>
      <c r="R274" s="1">
        <f t="shared" ca="1" si="104"/>
        <v>2315.6999999999998</v>
      </c>
      <c r="S274" s="1">
        <f t="shared" ca="1" si="87"/>
        <v>5</v>
      </c>
      <c r="T274" s="19">
        <f t="shared" ca="1" si="88"/>
        <v>0.18</v>
      </c>
      <c r="U274" s="1" t="str">
        <f t="shared" ca="1" si="89"/>
        <v>Low Discount</v>
      </c>
    </row>
    <row r="275" spans="1:21" ht="15.6" customHeight="1" x14ac:dyDescent="0.3">
      <c r="A275" s="1" t="str">
        <f t="shared" si="84"/>
        <v>ORD-274</v>
      </c>
      <c r="B275" s="10">
        <f t="shared" ca="1" si="85"/>
        <v>45471</v>
      </c>
      <c r="C275" s="7">
        <f t="shared" ca="1" si="86"/>
        <v>45474</v>
      </c>
      <c r="D275" s="1" t="str">
        <f t="shared" ca="1" si="105"/>
        <v>Second Class</v>
      </c>
      <c r="E275" s="1" t="str">
        <f t="shared" ca="1" si="91"/>
        <v>CU-306</v>
      </c>
      <c r="F275" s="1" t="str">
        <f t="shared" ca="1" si="92"/>
        <v>Sunil Kumar</v>
      </c>
      <c r="G275" s="1" t="str">
        <f t="shared" ca="1" si="93"/>
        <v>Corporate</v>
      </c>
      <c r="H275" s="1" t="str">
        <f t="shared" si="94"/>
        <v>India</v>
      </c>
      <c r="I275" s="1" t="str">
        <f t="shared" ca="1" si="95"/>
        <v>West</v>
      </c>
      <c r="J275" s="1" t="str">
        <f t="shared" ca="1" si="96"/>
        <v>Gujarat</v>
      </c>
      <c r="K275" s="1" t="str">
        <f t="shared" ca="1" si="97"/>
        <v>Ahmedabad</v>
      </c>
      <c r="L275" s="1" t="str">
        <f t="shared" ca="1" si="98"/>
        <v>Office Supplies</v>
      </c>
      <c r="M275" s="1" t="str">
        <f t="shared" ca="1" si="99"/>
        <v>Laptop</v>
      </c>
      <c r="N275" s="1" t="str">
        <f t="shared" ca="1" si="100"/>
        <v>Wireless Mouse</v>
      </c>
      <c r="O275" s="1">
        <f t="shared" ca="1" si="101"/>
        <v>24744</v>
      </c>
      <c r="P275" s="1">
        <f t="shared" ca="1" si="102"/>
        <v>4</v>
      </c>
      <c r="Q275" s="19">
        <f t="shared" ca="1" si="103"/>
        <v>0.1</v>
      </c>
      <c r="R275" s="1">
        <f t="shared" ca="1" si="104"/>
        <v>1979.5199999999998</v>
      </c>
      <c r="S275" s="1">
        <f t="shared" ca="1" si="87"/>
        <v>3</v>
      </c>
      <c r="T275" s="19">
        <f t="shared" ca="1" si="88"/>
        <v>7.9999999999999988E-2</v>
      </c>
      <c r="U275" s="1" t="str">
        <f t="shared" ca="1" si="89"/>
        <v>Low Discount</v>
      </c>
    </row>
    <row r="276" spans="1:21" ht="15.6" customHeight="1" x14ac:dyDescent="0.3">
      <c r="A276" s="1" t="str">
        <f t="shared" si="84"/>
        <v>ORD-275</v>
      </c>
      <c r="B276" s="10">
        <f t="shared" ca="1" si="85"/>
        <v>45399</v>
      </c>
      <c r="C276" s="7">
        <f t="shared" ca="1" si="86"/>
        <v>45401</v>
      </c>
      <c r="D276" s="1" t="str">
        <f t="shared" ca="1" si="105"/>
        <v>Second Class</v>
      </c>
      <c r="E276" s="1" t="str">
        <f t="shared" ca="1" si="91"/>
        <v>CU-192</v>
      </c>
      <c r="F276" s="1" t="str">
        <f t="shared" ca="1" si="92"/>
        <v>Amit Verma</v>
      </c>
      <c r="G276" s="1" t="str">
        <f t="shared" ca="1" si="93"/>
        <v>Corporate</v>
      </c>
      <c r="H276" s="1" t="str">
        <f t="shared" si="94"/>
        <v>India</v>
      </c>
      <c r="I276" s="1" t="str">
        <f t="shared" ca="1" si="95"/>
        <v>West</v>
      </c>
      <c r="J276" s="1" t="str">
        <f t="shared" ca="1" si="96"/>
        <v>Tamil Nadu</v>
      </c>
      <c r="K276" s="1" t="str">
        <f t="shared" ca="1" si="97"/>
        <v>Chennai</v>
      </c>
      <c r="L276" s="1" t="str">
        <f t="shared" ca="1" si="98"/>
        <v>Furniture</v>
      </c>
      <c r="M276" s="1" t="str">
        <f t="shared" ca="1" si="99"/>
        <v>Mobile</v>
      </c>
      <c r="N276" s="1" t="str">
        <f t="shared" ca="1" si="100"/>
        <v>Office Table</v>
      </c>
      <c r="O276" s="1">
        <f t="shared" ca="1" si="101"/>
        <v>42250</v>
      </c>
      <c r="P276" s="1">
        <f t="shared" ca="1" si="102"/>
        <v>10</v>
      </c>
      <c r="Q276" s="19">
        <f t="shared" ca="1" si="103"/>
        <v>0.05</v>
      </c>
      <c r="R276" s="1">
        <f t="shared" ca="1" si="104"/>
        <v>5492.5</v>
      </c>
      <c r="S276" s="1">
        <f t="shared" ca="1" si="87"/>
        <v>2</v>
      </c>
      <c r="T276" s="19">
        <f t="shared" ca="1" si="88"/>
        <v>0.13</v>
      </c>
      <c r="U276" s="1" t="str">
        <f t="shared" ca="1" si="89"/>
        <v>Low Discount</v>
      </c>
    </row>
    <row r="277" spans="1:21" ht="15.6" customHeight="1" x14ac:dyDescent="0.3">
      <c r="A277" s="1" t="str">
        <f t="shared" si="84"/>
        <v>ORD-276</v>
      </c>
      <c r="B277" s="10">
        <f t="shared" ca="1" si="85"/>
        <v>45376</v>
      </c>
      <c r="C277" s="7">
        <f t="shared" ca="1" si="86"/>
        <v>45379</v>
      </c>
      <c r="D277" s="1" t="str">
        <f t="shared" ca="1" si="105"/>
        <v>Standard Class</v>
      </c>
      <c r="E277" s="1" t="str">
        <f t="shared" ca="1" si="91"/>
        <v>CU-145</v>
      </c>
      <c r="F277" s="1" t="str">
        <f t="shared" ca="1" si="92"/>
        <v>Neha Gupta</v>
      </c>
      <c r="G277" s="1" t="str">
        <f t="shared" ca="1" si="93"/>
        <v>Home Office</v>
      </c>
      <c r="H277" s="1" t="str">
        <f t="shared" si="94"/>
        <v>India</v>
      </c>
      <c r="I277" s="1" t="str">
        <f t="shared" ca="1" si="95"/>
        <v>North</v>
      </c>
      <c r="J277" s="1" t="str">
        <f t="shared" ca="1" si="96"/>
        <v>Tamil Nadu</v>
      </c>
      <c r="K277" s="1" t="str">
        <f t="shared" ca="1" si="97"/>
        <v>Delhi</v>
      </c>
      <c r="L277" s="1" t="str">
        <f t="shared" ca="1" si="98"/>
        <v>Office Supplies</v>
      </c>
      <c r="M277" s="1" t="str">
        <f t="shared" ca="1" si="99"/>
        <v>Table</v>
      </c>
      <c r="N277" s="1" t="str">
        <f t="shared" ca="1" si="100"/>
        <v>Wireless Mouse</v>
      </c>
      <c r="O277" s="1">
        <f t="shared" ca="1" si="101"/>
        <v>33703</v>
      </c>
      <c r="P277" s="1">
        <f t="shared" ca="1" si="102"/>
        <v>1</v>
      </c>
      <c r="Q277" s="19">
        <f t="shared" ca="1" si="103"/>
        <v>0.2</v>
      </c>
      <c r="R277" s="1">
        <f t="shared" ca="1" si="104"/>
        <v>-674.06000000000063</v>
      </c>
      <c r="S277" s="1">
        <f t="shared" ca="1" si="87"/>
        <v>3</v>
      </c>
      <c r="T277" s="19">
        <f t="shared" ca="1" si="88"/>
        <v>-2.0000000000000018E-2</v>
      </c>
      <c r="U277" s="1" t="str">
        <f t="shared" ca="1" si="89"/>
        <v>High Discount</v>
      </c>
    </row>
    <row r="278" spans="1:21" ht="15.6" customHeight="1" x14ac:dyDescent="0.3">
      <c r="A278" s="1" t="str">
        <f t="shared" si="84"/>
        <v>ORD-277</v>
      </c>
      <c r="B278" s="10">
        <f t="shared" ca="1" si="85"/>
        <v>45317</v>
      </c>
      <c r="C278" s="7">
        <f t="shared" ca="1" si="86"/>
        <v>45322</v>
      </c>
      <c r="D278" s="1" t="str">
        <f t="shared" ca="1" si="105"/>
        <v>Second Class</v>
      </c>
      <c r="E278" s="1" t="str">
        <f t="shared" ca="1" si="91"/>
        <v>CU-660</v>
      </c>
      <c r="F278" s="1" t="str">
        <f t="shared" ca="1" si="92"/>
        <v>Arjun Malhotra</v>
      </c>
      <c r="G278" s="1" t="str">
        <f t="shared" ca="1" si="93"/>
        <v>Home Office</v>
      </c>
      <c r="H278" s="1" t="str">
        <f t="shared" si="94"/>
        <v>India</v>
      </c>
      <c r="I278" s="1" t="str">
        <f t="shared" ca="1" si="95"/>
        <v>East</v>
      </c>
      <c r="J278" s="1" t="str">
        <f t="shared" ca="1" si="96"/>
        <v>West Bengal</v>
      </c>
      <c r="K278" s="1" t="str">
        <f t="shared" ca="1" si="97"/>
        <v>Kolkata</v>
      </c>
      <c r="L278" s="1" t="str">
        <f t="shared" ca="1" si="98"/>
        <v>Technology</v>
      </c>
      <c r="M278" s="1" t="str">
        <f t="shared" ca="1" si="99"/>
        <v>Laptop</v>
      </c>
      <c r="N278" s="1" t="str">
        <f t="shared" ca="1" si="100"/>
        <v>Office Table</v>
      </c>
      <c r="O278" s="1">
        <f t="shared" ca="1" si="101"/>
        <v>49751</v>
      </c>
      <c r="P278" s="1">
        <f t="shared" ca="1" si="102"/>
        <v>9</v>
      </c>
      <c r="Q278" s="19">
        <f t="shared" ca="1" si="103"/>
        <v>0</v>
      </c>
      <c r="R278" s="1">
        <f t="shared" ca="1" si="104"/>
        <v>8955.18</v>
      </c>
      <c r="S278" s="1">
        <f t="shared" ca="1" si="87"/>
        <v>5</v>
      </c>
      <c r="T278" s="19">
        <f t="shared" ca="1" si="88"/>
        <v>0.18</v>
      </c>
      <c r="U278" s="1" t="str">
        <f t="shared" ca="1" si="89"/>
        <v>Low Discount</v>
      </c>
    </row>
    <row r="279" spans="1:21" ht="15.6" customHeight="1" x14ac:dyDescent="0.3">
      <c r="A279" s="1" t="str">
        <f t="shared" si="84"/>
        <v>ORD-278</v>
      </c>
      <c r="B279" s="10">
        <f t="shared" ca="1" si="85"/>
        <v>45378</v>
      </c>
      <c r="C279" s="7">
        <f t="shared" ca="1" si="86"/>
        <v>45382</v>
      </c>
      <c r="D279" s="1" t="str">
        <f t="shared" ca="1" si="105"/>
        <v>Standard Class</v>
      </c>
      <c r="E279" s="1" t="str">
        <f t="shared" ca="1" si="91"/>
        <v>CU-488</v>
      </c>
      <c r="F279" s="1" t="str">
        <f t="shared" ca="1" si="92"/>
        <v>Neha Gupta</v>
      </c>
      <c r="G279" s="1" t="str">
        <f t="shared" ca="1" si="93"/>
        <v>Consumer</v>
      </c>
      <c r="H279" s="1" t="str">
        <f t="shared" si="94"/>
        <v>India</v>
      </c>
      <c r="I279" s="1" t="str">
        <f t="shared" ca="1" si="95"/>
        <v>East</v>
      </c>
      <c r="J279" s="1" t="str">
        <f t="shared" ca="1" si="96"/>
        <v>Gujarat</v>
      </c>
      <c r="K279" s="1" t="str">
        <f t="shared" ca="1" si="97"/>
        <v>Chennai</v>
      </c>
      <c r="L279" s="1" t="str">
        <f t="shared" ca="1" si="98"/>
        <v>Office Supplies</v>
      </c>
      <c r="M279" s="1" t="str">
        <f t="shared" ca="1" si="99"/>
        <v>Table</v>
      </c>
      <c r="N279" s="1" t="str">
        <f t="shared" ca="1" si="100"/>
        <v>Wireless Mouse</v>
      </c>
      <c r="O279" s="1">
        <f t="shared" ca="1" si="101"/>
        <v>7531</v>
      </c>
      <c r="P279" s="1">
        <f t="shared" ca="1" si="102"/>
        <v>1</v>
      </c>
      <c r="Q279" s="19">
        <f t="shared" ca="1" si="103"/>
        <v>0.3</v>
      </c>
      <c r="R279" s="1">
        <f t="shared" ca="1" si="104"/>
        <v>-903.71999999999991</v>
      </c>
      <c r="S279" s="1">
        <f t="shared" ca="1" si="87"/>
        <v>4</v>
      </c>
      <c r="T279" s="19">
        <f t="shared" ca="1" si="88"/>
        <v>-0.11999999999999998</v>
      </c>
      <c r="U279" s="1" t="str">
        <f t="shared" ca="1" si="89"/>
        <v>High Discount</v>
      </c>
    </row>
    <row r="280" spans="1:21" ht="15.6" customHeight="1" x14ac:dyDescent="0.3">
      <c r="A280" s="1" t="str">
        <f t="shared" si="84"/>
        <v>ORD-279</v>
      </c>
      <c r="B280" s="10">
        <f t="shared" ca="1" si="85"/>
        <v>45626</v>
      </c>
      <c r="C280" s="7">
        <f t="shared" ca="1" si="86"/>
        <v>45631</v>
      </c>
      <c r="D280" s="1" t="str">
        <f t="shared" ca="1" si="105"/>
        <v>Second Class</v>
      </c>
      <c r="E280" s="1" t="str">
        <f t="shared" ca="1" si="91"/>
        <v>CU-564</v>
      </c>
      <c r="F280" s="1" t="str">
        <f t="shared" ca="1" si="92"/>
        <v>Rahul Sharma</v>
      </c>
      <c r="G280" s="1" t="str">
        <f t="shared" ca="1" si="93"/>
        <v>Corporate</v>
      </c>
      <c r="H280" s="1" t="str">
        <f t="shared" si="94"/>
        <v>India</v>
      </c>
      <c r="I280" s="1" t="str">
        <f t="shared" ca="1" si="95"/>
        <v>South</v>
      </c>
      <c r="J280" s="1" t="str">
        <f t="shared" ca="1" si="96"/>
        <v>West Bengal</v>
      </c>
      <c r="K280" s="1" t="str">
        <f t="shared" ca="1" si="97"/>
        <v>Ahmedabad</v>
      </c>
      <c r="L280" s="1" t="str">
        <f t="shared" ca="1" si="98"/>
        <v>Furniture</v>
      </c>
      <c r="M280" s="1" t="str">
        <f t="shared" ca="1" si="99"/>
        <v>Mobile</v>
      </c>
      <c r="N280" s="1" t="str">
        <f t="shared" ca="1" si="100"/>
        <v>Wireless Mouse</v>
      </c>
      <c r="O280" s="1">
        <f t="shared" ca="1" si="101"/>
        <v>8417</v>
      </c>
      <c r="P280" s="1">
        <f t="shared" ca="1" si="102"/>
        <v>1</v>
      </c>
      <c r="Q280" s="19">
        <f t="shared" ca="1" si="103"/>
        <v>0.05</v>
      </c>
      <c r="R280" s="1">
        <f t="shared" ca="1" si="104"/>
        <v>1094.21</v>
      </c>
      <c r="S280" s="1">
        <f t="shared" ca="1" si="87"/>
        <v>5</v>
      </c>
      <c r="T280" s="19">
        <f t="shared" ca="1" si="88"/>
        <v>0.13</v>
      </c>
      <c r="U280" s="1" t="str">
        <f t="shared" ca="1" si="89"/>
        <v>Low Discount</v>
      </c>
    </row>
    <row r="281" spans="1:21" ht="15.6" customHeight="1" x14ac:dyDescent="0.3">
      <c r="A281" s="1" t="str">
        <f t="shared" si="84"/>
        <v>ORD-280</v>
      </c>
      <c r="B281" s="10">
        <f t="shared" ca="1" si="85"/>
        <v>45608</v>
      </c>
      <c r="C281" s="7">
        <f t="shared" ca="1" si="86"/>
        <v>45609</v>
      </c>
      <c r="D281" s="1" t="str">
        <f t="shared" ca="1" si="105"/>
        <v>Standard Class</v>
      </c>
      <c r="E281" s="1" t="str">
        <f t="shared" ca="1" si="91"/>
        <v>CU-955</v>
      </c>
      <c r="F281" s="1" t="str">
        <f t="shared" ca="1" si="92"/>
        <v>Neha Gupta</v>
      </c>
      <c r="G281" s="1" t="str">
        <f t="shared" ca="1" si="93"/>
        <v>Home Office</v>
      </c>
      <c r="H281" s="1" t="str">
        <f t="shared" si="94"/>
        <v>India</v>
      </c>
      <c r="I281" s="1" t="str">
        <f t="shared" ca="1" si="95"/>
        <v>South</v>
      </c>
      <c r="J281" s="1" t="str">
        <f t="shared" ca="1" si="96"/>
        <v>Tamil Nadu</v>
      </c>
      <c r="K281" s="1" t="str">
        <f t="shared" ca="1" si="97"/>
        <v>Mumbai</v>
      </c>
      <c r="L281" s="1" t="str">
        <f t="shared" ca="1" si="98"/>
        <v>Furniture</v>
      </c>
      <c r="M281" s="1" t="str">
        <f t="shared" ca="1" si="99"/>
        <v>Chair</v>
      </c>
      <c r="N281" s="1" t="str">
        <f t="shared" ca="1" si="100"/>
        <v>Office Chair</v>
      </c>
      <c r="O281" s="1">
        <f t="shared" ca="1" si="101"/>
        <v>12787</v>
      </c>
      <c r="P281" s="1">
        <f t="shared" ca="1" si="102"/>
        <v>1</v>
      </c>
      <c r="Q281" s="19">
        <f t="shared" ca="1" si="103"/>
        <v>0.3</v>
      </c>
      <c r="R281" s="1">
        <f t="shared" ca="1" si="104"/>
        <v>-1534.44</v>
      </c>
      <c r="S281" s="1">
        <f t="shared" ca="1" si="87"/>
        <v>1</v>
      </c>
      <c r="T281" s="19">
        <f t="shared" ca="1" si="88"/>
        <v>-0.12000000000000001</v>
      </c>
      <c r="U281" s="1" t="str">
        <f t="shared" ca="1" si="89"/>
        <v>High Discount</v>
      </c>
    </row>
    <row r="282" spans="1:21" ht="15.6" customHeight="1" x14ac:dyDescent="0.3">
      <c r="A282" s="1" t="str">
        <f t="shared" si="84"/>
        <v>ORD-281</v>
      </c>
      <c r="B282" s="10">
        <f t="shared" ca="1" si="85"/>
        <v>45534</v>
      </c>
      <c r="C282" s="7">
        <f t="shared" ca="1" si="86"/>
        <v>45538</v>
      </c>
      <c r="D282" s="1" t="str">
        <f t="shared" ca="1" si="105"/>
        <v>Standard Class</v>
      </c>
      <c r="E282" s="1" t="str">
        <f t="shared" ca="1" si="91"/>
        <v>CU-361</v>
      </c>
      <c r="F282" s="1" t="str">
        <f t="shared" ca="1" si="92"/>
        <v>Arjun Malhotra</v>
      </c>
      <c r="G282" s="1" t="str">
        <f t="shared" ca="1" si="93"/>
        <v>Consumer</v>
      </c>
      <c r="H282" s="1" t="str">
        <f t="shared" si="94"/>
        <v>India</v>
      </c>
      <c r="I282" s="1" t="str">
        <f t="shared" ca="1" si="95"/>
        <v>East</v>
      </c>
      <c r="J282" s="1" t="str">
        <f t="shared" ca="1" si="96"/>
        <v>Delhi</v>
      </c>
      <c r="K282" s="1" t="str">
        <f t="shared" ca="1" si="97"/>
        <v>Delhi</v>
      </c>
      <c r="L282" s="1" t="str">
        <f t="shared" ca="1" si="98"/>
        <v>Office Supplies</v>
      </c>
      <c r="M282" s="1" t="str">
        <f t="shared" ca="1" si="99"/>
        <v>Table</v>
      </c>
      <c r="N282" s="1" t="str">
        <f t="shared" ca="1" si="100"/>
        <v>Samsung Galaxy</v>
      </c>
      <c r="O282" s="1">
        <f t="shared" ca="1" si="101"/>
        <v>27391</v>
      </c>
      <c r="P282" s="1">
        <f t="shared" ca="1" si="102"/>
        <v>2</v>
      </c>
      <c r="Q282" s="19">
        <f t="shared" ca="1" si="103"/>
        <v>0.1</v>
      </c>
      <c r="R282" s="1">
        <f t="shared" ca="1" si="104"/>
        <v>2191.2799999999997</v>
      </c>
      <c r="S282" s="1">
        <f t="shared" ca="1" si="87"/>
        <v>4</v>
      </c>
      <c r="T282" s="19">
        <f t="shared" ca="1" si="88"/>
        <v>7.9999999999999988E-2</v>
      </c>
      <c r="U282" s="1" t="str">
        <f t="shared" ca="1" si="89"/>
        <v>Low Discount</v>
      </c>
    </row>
    <row r="283" spans="1:21" ht="15.6" customHeight="1" x14ac:dyDescent="0.3">
      <c r="A283" s="1" t="str">
        <f t="shared" si="84"/>
        <v>ORD-282</v>
      </c>
      <c r="B283" s="10">
        <f t="shared" ca="1" si="85"/>
        <v>45320</v>
      </c>
      <c r="C283" s="7">
        <f t="shared" ca="1" si="86"/>
        <v>45324</v>
      </c>
      <c r="D283" s="1" t="str">
        <f t="shared" ca="1" si="105"/>
        <v>Standard Class</v>
      </c>
      <c r="E283" s="1" t="str">
        <f t="shared" ca="1" si="91"/>
        <v>CU-397</v>
      </c>
      <c r="F283" s="1" t="str">
        <f t="shared" ca="1" si="92"/>
        <v>Sunil Kumar</v>
      </c>
      <c r="G283" s="1" t="str">
        <f t="shared" ca="1" si="93"/>
        <v>Corporate</v>
      </c>
      <c r="H283" s="1" t="str">
        <f t="shared" si="94"/>
        <v>India</v>
      </c>
      <c r="I283" s="1" t="str">
        <f t="shared" ca="1" si="95"/>
        <v>North</v>
      </c>
      <c r="J283" s="1" t="str">
        <f t="shared" ca="1" si="96"/>
        <v>Karnataka</v>
      </c>
      <c r="K283" s="1" t="str">
        <f t="shared" ca="1" si="97"/>
        <v>Delhi</v>
      </c>
      <c r="L283" s="1" t="str">
        <f t="shared" ca="1" si="98"/>
        <v>Technology</v>
      </c>
      <c r="M283" s="1" t="str">
        <f t="shared" ca="1" si="99"/>
        <v>Chair</v>
      </c>
      <c r="N283" s="1" t="str">
        <f t="shared" ca="1" si="100"/>
        <v>Office Table</v>
      </c>
      <c r="O283" s="1">
        <f t="shared" ca="1" si="101"/>
        <v>27093</v>
      </c>
      <c r="P283" s="1">
        <f t="shared" ca="1" si="102"/>
        <v>4</v>
      </c>
      <c r="Q283" s="19">
        <f t="shared" ca="1" si="103"/>
        <v>0.2</v>
      </c>
      <c r="R283" s="1">
        <f t="shared" ca="1" si="104"/>
        <v>-541.86000000000047</v>
      </c>
      <c r="S283" s="1">
        <f t="shared" ca="1" si="87"/>
        <v>4</v>
      </c>
      <c r="T283" s="19">
        <f t="shared" ca="1" si="88"/>
        <v>-2.0000000000000018E-2</v>
      </c>
      <c r="U283" s="1" t="str">
        <f t="shared" ca="1" si="89"/>
        <v>High Discount</v>
      </c>
    </row>
    <row r="284" spans="1:21" ht="15.6" customHeight="1" x14ac:dyDescent="0.3">
      <c r="A284" s="1" t="str">
        <f t="shared" si="84"/>
        <v>ORD-283</v>
      </c>
      <c r="B284" s="10">
        <f t="shared" ca="1" si="85"/>
        <v>45636</v>
      </c>
      <c r="C284" s="7">
        <f t="shared" ca="1" si="86"/>
        <v>45637</v>
      </c>
      <c r="D284" s="1" t="str">
        <f t="shared" ca="1" si="105"/>
        <v>Same Day</v>
      </c>
      <c r="E284" s="1" t="str">
        <f t="shared" ca="1" si="91"/>
        <v>CU-851</v>
      </c>
      <c r="F284" s="1" t="str">
        <f t="shared" ca="1" si="92"/>
        <v>Neha Gupta</v>
      </c>
      <c r="G284" s="1" t="str">
        <f t="shared" ca="1" si="93"/>
        <v>Corporate</v>
      </c>
      <c r="H284" s="1" t="str">
        <f t="shared" si="94"/>
        <v>India</v>
      </c>
      <c r="I284" s="1" t="str">
        <f t="shared" ca="1" si="95"/>
        <v>South</v>
      </c>
      <c r="J284" s="1" t="str">
        <f t="shared" ca="1" si="96"/>
        <v>Maharashtra</v>
      </c>
      <c r="K284" s="1" t="str">
        <f t="shared" ca="1" si="97"/>
        <v>Ahmedabad</v>
      </c>
      <c r="L284" s="1" t="str">
        <f t="shared" ca="1" si="98"/>
        <v>Furniture</v>
      </c>
      <c r="M284" s="1" t="str">
        <f t="shared" ca="1" si="99"/>
        <v>Laptop</v>
      </c>
      <c r="N284" s="1" t="str">
        <f t="shared" ca="1" si="100"/>
        <v>HP Pavilion</v>
      </c>
      <c r="O284" s="1">
        <f t="shared" ca="1" si="101"/>
        <v>5712</v>
      </c>
      <c r="P284" s="1">
        <f t="shared" ca="1" si="102"/>
        <v>5</v>
      </c>
      <c r="Q284" s="19">
        <f t="shared" ca="1" si="103"/>
        <v>0.1</v>
      </c>
      <c r="R284" s="1">
        <f t="shared" ca="1" si="104"/>
        <v>456.95999999999992</v>
      </c>
      <c r="S284" s="1">
        <f t="shared" ca="1" si="87"/>
        <v>1</v>
      </c>
      <c r="T284" s="19">
        <f t="shared" ca="1" si="88"/>
        <v>7.9999999999999988E-2</v>
      </c>
      <c r="U284" s="1" t="str">
        <f t="shared" ca="1" si="89"/>
        <v>Low Discount</v>
      </c>
    </row>
    <row r="285" spans="1:21" ht="15.6" customHeight="1" x14ac:dyDescent="0.3">
      <c r="A285" s="1" t="str">
        <f t="shared" si="84"/>
        <v>ORD-284</v>
      </c>
      <c r="B285" s="10">
        <f t="shared" ca="1" si="85"/>
        <v>45657</v>
      </c>
      <c r="C285" s="7">
        <f t="shared" ca="1" si="86"/>
        <v>45662</v>
      </c>
      <c r="D285" s="1" t="str">
        <f t="shared" ca="1" si="105"/>
        <v>Second Class</v>
      </c>
      <c r="E285" s="1" t="str">
        <f t="shared" ca="1" si="91"/>
        <v>CU-790</v>
      </c>
      <c r="F285" s="1" t="str">
        <f t="shared" ca="1" si="92"/>
        <v>Priya Singh</v>
      </c>
      <c r="G285" s="1" t="str">
        <f t="shared" ca="1" si="93"/>
        <v>Corporate</v>
      </c>
      <c r="H285" s="1" t="str">
        <f t="shared" si="94"/>
        <v>India</v>
      </c>
      <c r="I285" s="1" t="str">
        <f t="shared" ca="1" si="95"/>
        <v>South</v>
      </c>
      <c r="J285" s="1" t="str">
        <f t="shared" ca="1" si="96"/>
        <v>Karnataka</v>
      </c>
      <c r="K285" s="1" t="str">
        <f t="shared" ca="1" si="97"/>
        <v>Delhi</v>
      </c>
      <c r="L285" s="1" t="str">
        <f t="shared" ca="1" si="98"/>
        <v>Office Supplies</v>
      </c>
      <c r="M285" s="1" t="str">
        <f t="shared" ca="1" si="99"/>
        <v>Laptop</v>
      </c>
      <c r="N285" s="1" t="str">
        <f t="shared" ca="1" si="100"/>
        <v>Wireless Mouse</v>
      </c>
      <c r="O285" s="1">
        <f t="shared" ca="1" si="101"/>
        <v>18515</v>
      </c>
      <c r="P285" s="1">
        <f t="shared" ca="1" si="102"/>
        <v>10</v>
      </c>
      <c r="Q285" s="19">
        <f t="shared" ca="1" si="103"/>
        <v>0.2</v>
      </c>
      <c r="R285" s="1">
        <f t="shared" ca="1" si="104"/>
        <v>-370.30000000000035</v>
      </c>
      <c r="S285" s="1">
        <f t="shared" ca="1" si="87"/>
        <v>5</v>
      </c>
      <c r="T285" s="19">
        <f t="shared" ca="1" si="88"/>
        <v>-2.0000000000000018E-2</v>
      </c>
      <c r="U285" s="1" t="str">
        <f t="shared" ca="1" si="89"/>
        <v>High Discount</v>
      </c>
    </row>
    <row r="286" spans="1:21" ht="15.6" customHeight="1" x14ac:dyDescent="0.3">
      <c r="A286" s="1" t="str">
        <f t="shared" si="84"/>
        <v>ORD-285</v>
      </c>
      <c r="B286" s="10">
        <f t="shared" ca="1" si="85"/>
        <v>45514</v>
      </c>
      <c r="C286" s="7">
        <f t="shared" ca="1" si="86"/>
        <v>45517</v>
      </c>
      <c r="D286" s="1" t="str">
        <f t="shared" ca="1" si="105"/>
        <v>Same Day</v>
      </c>
      <c r="E286" s="1" t="str">
        <f t="shared" ca="1" si="91"/>
        <v>CU-346</v>
      </c>
      <c r="F286" s="1" t="str">
        <f t="shared" ca="1" si="92"/>
        <v>Priya Singh</v>
      </c>
      <c r="G286" s="1" t="str">
        <f t="shared" ca="1" si="93"/>
        <v>Corporate</v>
      </c>
      <c r="H286" s="1" t="str">
        <f t="shared" si="94"/>
        <v>India</v>
      </c>
      <c r="I286" s="1" t="str">
        <f t="shared" ca="1" si="95"/>
        <v>North</v>
      </c>
      <c r="J286" s="1" t="str">
        <f t="shared" ca="1" si="96"/>
        <v>West Bengal</v>
      </c>
      <c r="K286" s="1" t="str">
        <f t="shared" ca="1" si="97"/>
        <v>Bangalore</v>
      </c>
      <c r="L286" s="1" t="str">
        <f t="shared" ca="1" si="98"/>
        <v>Technology</v>
      </c>
      <c r="M286" s="1" t="str">
        <f t="shared" ca="1" si="99"/>
        <v>Table</v>
      </c>
      <c r="N286" s="1" t="str">
        <f t="shared" ca="1" si="100"/>
        <v>Office Table</v>
      </c>
      <c r="O286" s="1">
        <f t="shared" ca="1" si="101"/>
        <v>22314</v>
      </c>
      <c r="P286" s="1">
        <f t="shared" ca="1" si="102"/>
        <v>6</v>
      </c>
      <c r="Q286" s="19">
        <f t="shared" ca="1" si="103"/>
        <v>0.1</v>
      </c>
      <c r="R286" s="1">
        <f t="shared" ca="1" si="104"/>
        <v>1785.1199999999997</v>
      </c>
      <c r="S286" s="1">
        <f t="shared" ca="1" si="87"/>
        <v>3</v>
      </c>
      <c r="T286" s="19">
        <f t="shared" ca="1" si="88"/>
        <v>7.9999999999999988E-2</v>
      </c>
      <c r="U286" s="1" t="str">
        <f t="shared" ca="1" si="89"/>
        <v>Low Discount</v>
      </c>
    </row>
    <row r="287" spans="1:21" ht="15.6" customHeight="1" x14ac:dyDescent="0.3">
      <c r="A287" s="1" t="str">
        <f t="shared" si="84"/>
        <v>ORD-286</v>
      </c>
      <c r="B287" s="10">
        <f t="shared" ca="1" si="85"/>
        <v>45569</v>
      </c>
      <c r="C287" s="7">
        <f t="shared" ca="1" si="86"/>
        <v>45569</v>
      </c>
      <c r="D287" s="1" t="str">
        <f t="shared" ca="1" si="105"/>
        <v>Second Class</v>
      </c>
      <c r="E287" s="1" t="str">
        <f t="shared" ca="1" si="91"/>
        <v>CU-973</v>
      </c>
      <c r="F287" s="1" t="str">
        <f t="shared" ca="1" si="92"/>
        <v>Arjun Malhotra</v>
      </c>
      <c r="G287" s="1" t="str">
        <f t="shared" ca="1" si="93"/>
        <v>Home Office</v>
      </c>
      <c r="H287" s="1" t="str">
        <f t="shared" si="94"/>
        <v>India</v>
      </c>
      <c r="I287" s="1" t="str">
        <f t="shared" ca="1" si="95"/>
        <v>South</v>
      </c>
      <c r="J287" s="1" t="str">
        <f t="shared" ca="1" si="96"/>
        <v>Gujarat</v>
      </c>
      <c r="K287" s="1" t="str">
        <f t="shared" ca="1" si="97"/>
        <v>Mumbai</v>
      </c>
      <c r="L287" s="1" t="str">
        <f t="shared" ca="1" si="98"/>
        <v>Technology</v>
      </c>
      <c r="M287" s="1" t="str">
        <f t="shared" ca="1" si="99"/>
        <v>Paper</v>
      </c>
      <c r="N287" s="1" t="str">
        <f t="shared" ca="1" si="100"/>
        <v>A4 Paper</v>
      </c>
      <c r="O287" s="1">
        <f t="shared" ca="1" si="101"/>
        <v>3008</v>
      </c>
      <c r="P287" s="1">
        <f t="shared" ca="1" si="102"/>
        <v>2</v>
      </c>
      <c r="Q287" s="19">
        <f t="shared" ca="1" si="103"/>
        <v>0</v>
      </c>
      <c r="R287" s="1">
        <f t="shared" ca="1" si="104"/>
        <v>541.43999999999994</v>
      </c>
      <c r="S287" s="1">
        <f t="shared" ca="1" si="87"/>
        <v>0</v>
      </c>
      <c r="T287" s="19">
        <f t="shared" ca="1" si="88"/>
        <v>0.18</v>
      </c>
      <c r="U287" s="1" t="str">
        <f t="shared" ca="1" si="89"/>
        <v>Low Discount</v>
      </c>
    </row>
    <row r="288" spans="1:21" ht="15.6" customHeight="1" x14ac:dyDescent="0.3">
      <c r="A288" s="1" t="str">
        <f t="shared" si="84"/>
        <v>ORD-287</v>
      </c>
      <c r="B288" s="10">
        <f t="shared" ca="1" si="85"/>
        <v>45500</v>
      </c>
      <c r="C288" s="7">
        <f t="shared" ca="1" si="86"/>
        <v>45503</v>
      </c>
      <c r="D288" s="1" t="str">
        <f t="shared" ca="1" si="105"/>
        <v>Second Class</v>
      </c>
      <c r="E288" s="1" t="str">
        <f t="shared" ca="1" si="91"/>
        <v>CU-322</v>
      </c>
      <c r="F288" s="1" t="str">
        <f t="shared" ca="1" si="92"/>
        <v>Arjun Malhotra</v>
      </c>
      <c r="G288" s="1" t="str">
        <f t="shared" ca="1" si="93"/>
        <v>Home Office</v>
      </c>
      <c r="H288" s="1" t="str">
        <f t="shared" si="94"/>
        <v>India</v>
      </c>
      <c r="I288" s="1" t="str">
        <f t="shared" ca="1" si="95"/>
        <v>North</v>
      </c>
      <c r="J288" s="1" t="str">
        <f t="shared" ca="1" si="96"/>
        <v>Gujarat</v>
      </c>
      <c r="K288" s="1" t="str">
        <f t="shared" ca="1" si="97"/>
        <v>Ahmedabad</v>
      </c>
      <c r="L288" s="1" t="str">
        <f t="shared" ca="1" si="98"/>
        <v>Office Supplies</v>
      </c>
      <c r="M288" s="1" t="str">
        <f t="shared" ca="1" si="99"/>
        <v>Table</v>
      </c>
      <c r="N288" s="1" t="str">
        <f t="shared" ca="1" si="100"/>
        <v>Office Table</v>
      </c>
      <c r="O288" s="1">
        <f t="shared" ca="1" si="101"/>
        <v>33731</v>
      </c>
      <c r="P288" s="1">
        <f t="shared" ca="1" si="102"/>
        <v>2</v>
      </c>
      <c r="Q288" s="19">
        <f t="shared" ca="1" si="103"/>
        <v>0</v>
      </c>
      <c r="R288" s="1">
        <f t="shared" ca="1" si="104"/>
        <v>6071.58</v>
      </c>
      <c r="S288" s="1">
        <f t="shared" ca="1" si="87"/>
        <v>3</v>
      </c>
      <c r="T288" s="19">
        <f t="shared" ca="1" si="88"/>
        <v>0.18</v>
      </c>
      <c r="U288" s="1" t="str">
        <f t="shared" ca="1" si="89"/>
        <v>Low Discount</v>
      </c>
    </row>
    <row r="289" spans="1:21" ht="15.6" customHeight="1" x14ac:dyDescent="0.3">
      <c r="A289" s="1" t="str">
        <f t="shared" si="84"/>
        <v>ORD-288</v>
      </c>
      <c r="B289" s="10">
        <f t="shared" ca="1" si="85"/>
        <v>45395</v>
      </c>
      <c r="C289" s="7">
        <f t="shared" ca="1" si="86"/>
        <v>45399</v>
      </c>
      <c r="D289" s="1" t="str">
        <f t="shared" ca="1" si="105"/>
        <v>Standard Class</v>
      </c>
      <c r="E289" s="1" t="str">
        <f t="shared" ca="1" si="91"/>
        <v>CU-759</v>
      </c>
      <c r="F289" s="1" t="str">
        <f t="shared" ca="1" si="92"/>
        <v>Neha Gupta</v>
      </c>
      <c r="G289" s="1" t="str">
        <f t="shared" ca="1" si="93"/>
        <v>Home Office</v>
      </c>
      <c r="H289" s="1" t="str">
        <f t="shared" si="94"/>
        <v>India</v>
      </c>
      <c r="I289" s="1" t="str">
        <f t="shared" ca="1" si="95"/>
        <v>West</v>
      </c>
      <c r="J289" s="1" t="str">
        <f t="shared" ca="1" si="96"/>
        <v>Tamil Nadu</v>
      </c>
      <c r="K289" s="1" t="str">
        <f t="shared" ca="1" si="97"/>
        <v>Bangalore</v>
      </c>
      <c r="L289" s="1" t="str">
        <f t="shared" ca="1" si="98"/>
        <v>Technology</v>
      </c>
      <c r="M289" s="1" t="str">
        <f t="shared" ca="1" si="99"/>
        <v>Paper</v>
      </c>
      <c r="N289" s="1" t="str">
        <f t="shared" ca="1" si="100"/>
        <v>Office Chair</v>
      </c>
      <c r="O289" s="1">
        <f t="shared" ca="1" si="101"/>
        <v>39902</v>
      </c>
      <c r="P289" s="1">
        <f t="shared" ca="1" si="102"/>
        <v>6</v>
      </c>
      <c r="Q289" s="19">
        <f t="shared" ca="1" si="103"/>
        <v>0.2</v>
      </c>
      <c r="R289" s="1">
        <f t="shared" ca="1" si="104"/>
        <v>-798.04000000000076</v>
      </c>
      <c r="S289" s="1">
        <f t="shared" ca="1" si="87"/>
        <v>4</v>
      </c>
      <c r="T289" s="19">
        <f t="shared" ca="1" si="88"/>
        <v>-2.0000000000000018E-2</v>
      </c>
      <c r="U289" s="1" t="str">
        <f t="shared" ca="1" si="89"/>
        <v>High Discount</v>
      </c>
    </row>
    <row r="290" spans="1:21" ht="15.6" customHeight="1" x14ac:dyDescent="0.3">
      <c r="A290" s="1" t="str">
        <f t="shared" si="84"/>
        <v>ORD-289</v>
      </c>
      <c r="B290" s="10">
        <f t="shared" ca="1" si="85"/>
        <v>45437</v>
      </c>
      <c r="C290" s="7">
        <f t="shared" ca="1" si="86"/>
        <v>45440</v>
      </c>
      <c r="D290" s="1" t="str">
        <f t="shared" ca="1" si="105"/>
        <v>Same Day</v>
      </c>
      <c r="E290" s="1" t="str">
        <f t="shared" ca="1" si="91"/>
        <v>CU-567</v>
      </c>
      <c r="F290" s="1" t="str">
        <f t="shared" ca="1" si="92"/>
        <v>Amit Verma</v>
      </c>
      <c r="G290" s="1" t="str">
        <f t="shared" ca="1" si="93"/>
        <v>Home Office</v>
      </c>
      <c r="H290" s="1" t="str">
        <f t="shared" si="94"/>
        <v>India</v>
      </c>
      <c r="I290" s="1" t="str">
        <f t="shared" ca="1" si="95"/>
        <v>North</v>
      </c>
      <c r="J290" s="1" t="str">
        <f t="shared" ca="1" si="96"/>
        <v>Tamil Nadu</v>
      </c>
      <c r="K290" s="1" t="str">
        <f t="shared" ca="1" si="97"/>
        <v>Ahmedabad</v>
      </c>
      <c r="L290" s="1" t="str">
        <f t="shared" ca="1" si="98"/>
        <v>Technology</v>
      </c>
      <c r="M290" s="1" t="str">
        <f t="shared" ca="1" si="99"/>
        <v>Paper</v>
      </c>
      <c r="N290" s="1" t="str">
        <f t="shared" ca="1" si="100"/>
        <v>Samsung Galaxy</v>
      </c>
      <c r="O290" s="1">
        <f t="shared" ca="1" si="101"/>
        <v>35937</v>
      </c>
      <c r="P290" s="1">
        <f t="shared" ca="1" si="102"/>
        <v>3</v>
      </c>
      <c r="Q290" s="19">
        <f t="shared" ca="1" si="103"/>
        <v>0</v>
      </c>
      <c r="R290" s="1">
        <f t="shared" ca="1" si="104"/>
        <v>6468.66</v>
      </c>
      <c r="S290" s="1">
        <f t="shared" ca="1" si="87"/>
        <v>3</v>
      </c>
      <c r="T290" s="19">
        <f t="shared" ca="1" si="88"/>
        <v>0.18</v>
      </c>
      <c r="U290" s="1" t="str">
        <f t="shared" ca="1" si="89"/>
        <v>Low Discount</v>
      </c>
    </row>
    <row r="291" spans="1:21" ht="15.6" customHeight="1" x14ac:dyDescent="0.3">
      <c r="A291" s="1" t="str">
        <f t="shared" si="84"/>
        <v>ORD-290</v>
      </c>
      <c r="B291" s="10">
        <f t="shared" ca="1" si="85"/>
        <v>45396</v>
      </c>
      <c r="C291" s="7">
        <f t="shared" ca="1" si="86"/>
        <v>45401</v>
      </c>
      <c r="D291" s="1" t="str">
        <f t="shared" ca="1" si="105"/>
        <v>Same Day</v>
      </c>
      <c r="E291" s="1" t="str">
        <f t="shared" ca="1" si="91"/>
        <v>CU-405</v>
      </c>
      <c r="F291" s="1" t="str">
        <f t="shared" ca="1" si="92"/>
        <v>Arjun Malhotra</v>
      </c>
      <c r="G291" s="1" t="str">
        <f t="shared" ca="1" si="93"/>
        <v>Home Office</v>
      </c>
      <c r="H291" s="1" t="str">
        <f t="shared" si="94"/>
        <v>India</v>
      </c>
      <c r="I291" s="1" t="str">
        <f t="shared" ca="1" si="95"/>
        <v>South</v>
      </c>
      <c r="J291" s="1" t="str">
        <f t="shared" ca="1" si="96"/>
        <v>Tamil Nadu</v>
      </c>
      <c r="K291" s="1" t="str">
        <f t="shared" ca="1" si="97"/>
        <v>Mumbai</v>
      </c>
      <c r="L291" s="1" t="str">
        <f t="shared" ca="1" si="98"/>
        <v>Furniture</v>
      </c>
      <c r="M291" s="1" t="str">
        <f t="shared" ca="1" si="99"/>
        <v>Mobile</v>
      </c>
      <c r="N291" s="1" t="str">
        <f t="shared" ca="1" si="100"/>
        <v>HP Pavilion</v>
      </c>
      <c r="O291" s="1">
        <f t="shared" ca="1" si="101"/>
        <v>26384</v>
      </c>
      <c r="P291" s="1">
        <f t="shared" ca="1" si="102"/>
        <v>10</v>
      </c>
      <c r="Q291" s="19">
        <f t="shared" ca="1" si="103"/>
        <v>0</v>
      </c>
      <c r="R291" s="1">
        <f t="shared" ca="1" si="104"/>
        <v>4749.12</v>
      </c>
      <c r="S291" s="1">
        <f t="shared" ca="1" si="87"/>
        <v>5</v>
      </c>
      <c r="T291" s="19">
        <f t="shared" ca="1" si="88"/>
        <v>0.18</v>
      </c>
      <c r="U291" s="1" t="str">
        <f t="shared" ca="1" si="89"/>
        <v>Low Discount</v>
      </c>
    </row>
    <row r="292" spans="1:21" ht="15.6" customHeight="1" x14ac:dyDescent="0.3">
      <c r="A292" s="1" t="str">
        <f t="shared" si="84"/>
        <v>ORD-291</v>
      </c>
      <c r="B292" s="10">
        <f t="shared" ca="1" si="85"/>
        <v>45643</v>
      </c>
      <c r="C292" s="7">
        <f t="shared" ca="1" si="86"/>
        <v>45645</v>
      </c>
      <c r="D292" s="1" t="str">
        <f t="shared" ca="1" si="105"/>
        <v>Same Day</v>
      </c>
      <c r="E292" s="1" t="str">
        <f t="shared" ca="1" si="91"/>
        <v>CU-875</v>
      </c>
      <c r="F292" s="1" t="str">
        <f t="shared" ca="1" si="92"/>
        <v>Priya Singh</v>
      </c>
      <c r="G292" s="1" t="str">
        <f t="shared" ca="1" si="93"/>
        <v>Home Office</v>
      </c>
      <c r="H292" s="1" t="str">
        <f t="shared" si="94"/>
        <v>India</v>
      </c>
      <c r="I292" s="1" t="str">
        <f t="shared" ca="1" si="95"/>
        <v>West</v>
      </c>
      <c r="J292" s="1" t="str">
        <f t="shared" ca="1" si="96"/>
        <v>Maharashtra</v>
      </c>
      <c r="K292" s="1" t="str">
        <f t="shared" ca="1" si="97"/>
        <v>Kolkata</v>
      </c>
      <c r="L292" s="1" t="str">
        <f t="shared" ca="1" si="98"/>
        <v>Furniture</v>
      </c>
      <c r="M292" s="1" t="str">
        <f t="shared" ca="1" si="99"/>
        <v>Chair</v>
      </c>
      <c r="N292" s="1" t="str">
        <f t="shared" ca="1" si="100"/>
        <v>Office Table</v>
      </c>
      <c r="O292" s="1">
        <f t="shared" ca="1" si="101"/>
        <v>21817</v>
      </c>
      <c r="P292" s="1">
        <f t="shared" ca="1" si="102"/>
        <v>4</v>
      </c>
      <c r="Q292" s="19">
        <f t="shared" ca="1" si="103"/>
        <v>0.1</v>
      </c>
      <c r="R292" s="1">
        <f t="shared" ca="1" si="104"/>
        <v>1745.3599999999997</v>
      </c>
      <c r="S292" s="1">
        <f t="shared" ca="1" si="87"/>
        <v>2</v>
      </c>
      <c r="T292" s="19">
        <f t="shared" ca="1" si="88"/>
        <v>7.9999999999999988E-2</v>
      </c>
      <c r="U292" s="1" t="str">
        <f t="shared" ca="1" si="89"/>
        <v>Low Discount</v>
      </c>
    </row>
    <row r="293" spans="1:21" ht="15.6" customHeight="1" x14ac:dyDescent="0.3">
      <c r="A293" s="1" t="str">
        <f t="shared" si="84"/>
        <v>ORD-292</v>
      </c>
      <c r="B293" s="10">
        <f t="shared" ca="1" si="85"/>
        <v>45335</v>
      </c>
      <c r="C293" s="7">
        <f t="shared" ca="1" si="86"/>
        <v>45338</v>
      </c>
      <c r="D293" s="1" t="str">
        <f t="shared" ca="1" si="105"/>
        <v>Second Class</v>
      </c>
      <c r="E293" s="1" t="str">
        <f t="shared" ca="1" si="91"/>
        <v>CU-936</v>
      </c>
      <c r="F293" s="1" t="str">
        <f t="shared" ca="1" si="92"/>
        <v>Neha Gupta</v>
      </c>
      <c r="G293" s="1" t="str">
        <f t="shared" ca="1" si="93"/>
        <v>Corporate</v>
      </c>
      <c r="H293" s="1" t="str">
        <f t="shared" si="94"/>
        <v>India</v>
      </c>
      <c r="I293" s="1" t="str">
        <f t="shared" ca="1" si="95"/>
        <v>South</v>
      </c>
      <c r="J293" s="1" t="str">
        <f t="shared" ca="1" si="96"/>
        <v>Maharashtra</v>
      </c>
      <c r="K293" s="1" t="str">
        <f t="shared" ca="1" si="97"/>
        <v>Delhi</v>
      </c>
      <c r="L293" s="1" t="str">
        <f t="shared" ca="1" si="98"/>
        <v>Office Supplies</v>
      </c>
      <c r="M293" s="1" t="str">
        <f t="shared" ca="1" si="99"/>
        <v>Laptop</v>
      </c>
      <c r="N293" s="1" t="str">
        <f t="shared" ca="1" si="100"/>
        <v>Office Chair</v>
      </c>
      <c r="O293" s="1">
        <f t="shared" ca="1" si="101"/>
        <v>20341</v>
      </c>
      <c r="P293" s="1">
        <f t="shared" ca="1" si="102"/>
        <v>8</v>
      </c>
      <c r="Q293" s="19">
        <f t="shared" ca="1" si="103"/>
        <v>0.2</v>
      </c>
      <c r="R293" s="1">
        <f t="shared" ca="1" si="104"/>
        <v>-406.82000000000033</v>
      </c>
      <c r="S293" s="1">
        <f t="shared" ca="1" si="87"/>
        <v>3</v>
      </c>
      <c r="T293" s="19">
        <f t="shared" ca="1" si="88"/>
        <v>-2.0000000000000018E-2</v>
      </c>
      <c r="U293" s="1" t="str">
        <f t="shared" ca="1" si="89"/>
        <v>High Discount</v>
      </c>
    </row>
    <row r="294" spans="1:21" ht="15.6" customHeight="1" x14ac:dyDescent="0.3">
      <c r="A294" s="1" t="str">
        <f t="shared" si="84"/>
        <v>ORD-293</v>
      </c>
      <c r="B294" s="10">
        <f t="shared" ca="1" si="85"/>
        <v>45428</v>
      </c>
      <c r="C294" s="7">
        <f t="shared" ca="1" si="86"/>
        <v>45433</v>
      </c>
      <c r="D294" s="1" t="str">
        <f t="shared" ca="1" si="105"/>
        <v>Standard Class</v>
      </c>
      <c r="E294" s="1" t="str">
        <f t="shared" ca="1" si="91"/>
        <v>CU-630</v>
      </c>
      <c r="F294" s="1" t="str">
        <f t="shared" ca="1" si="92"/>
        <v>Priya Singh</v>
      </c>
      <c r="G294" s="1" t="str">
        <f t="shared" ca="1" si="93"/>
        <v>Consumer</v>
      </c>
      <c r="H294" s="1" t="str">
        <f t="shared" si="94"/>
        <v>India</v>
      </c>
      <c r="I294" s="1" t="str">
        <f t="shared" ca="1" si="95"/>
        <v>North</v>
      </c>
      <c r="J294" s="1" t="str">
        <f t="shared" ca="1" si="96"/>
        <v>Karnataka</v>
      </c>
      <c r="K294" s="1" t="str">
        <f t="shared" ca="1" si="97"/>
        <v>Delhi</v>
      </c>
      <c r="L294" s="1" t="str">
        <f t="shared" ca="1" si="98"/>
        <v>Office Supplies</v>
      </c>
      <c r="M294" s="1" t="str">
        <f t="shared" ca="1" si="99"/>
        <v>Paper</v>
      </c>
      <c r="N294" s="1" t="str">
        <f t="shared" ca="1" si="100"/>
        <v>A4 Paper</v>
      </c>
      <c r="O294" s="1">
        <f t="shared" ca="1" si="101"/>
        <v>12506</v>
      </c>
      <c r="P294" s="1">
        <f t="shared" ca="1" si="102"/>
        <v>2</v>
      </c>
      <c r="Q294" s="19">
        <f t="shared" ca="1" si="103"/>
        <v>0.1</v>
      </c>
      <c r="R294" s="1">
        <f t="shared" ca="1" si="104"/>
        <v>1000.4799999999998</v>
      </c>
      <c r="S294" s="1">
        <f t="shared" ca="1" si="87"/>
        <v>5</v>
      </c>
      <c r="T294" s="19">
        <f t="shared" ca="1" si="88"/>
        <v>7.9999999999999988E-2</v>
      </c>
      <c r="U294" s="1" t="str">
        <f t="shared" ca="1" si="89"/>
        <v>Low Discount</v>
      </c>
    </row>
    <row r="295" spans="1:21" ht="15.6" customHeight="1" x14ac:dyDescent="0.3">
      <c r="A295" s="1" t="str">
        <f t="shared" si="84"/>
        <v>ORD-294</v>
      </c>
      <c r="B295" s="10">
        <f t="shared" ca="1" si="85"/>
        <v>45380</v>
      </c>
      <c r="C295" s="7">
        <f t="shared" ca="1" si="86"/>
        <v>45382</v>
      </c>
      <c r="D295" s="1" t="str">
        <f t="shared" ca="1" si="105"/>
        <v>Second Class</v>
      </c>
      <c r="E295" s="1" t="str">
        <f t="shared" ca="1" si="91"/>
        <v>CU-316</v>
      </c>
      <c r="F295" s="1" t="str">
        <f t="shared" ca="1" si="92"/>
        <v>Arjun Malhotra</v>
      </c>
      <c r="G295" s="1" t="str">
        <f t="shared" ca="1" si="93"/>
        <v>Consumer</v>
      </c>
      <c r="H295" s="1" t="str">
        <f t="shared" si="94"/>
        <v>India</v>
      </c>
      <c r="I295" s="1" t="str">
        <f t="shared" ca="1" si="95"/>
        <v>West</v>
      </c>
      <c r="J295" s="1" t="str">
        <f t="shared" ca="1" si="96"/>
        <v>Delhi</v>
      </c>
      <c r="K295" s="1" t="str">
        <f t="shared" ca="1" si="97"/>
        <v>Mumbai</v>
      </c>
      <c r="L295" s="1" t="str">
        <f t="shared" ca="1" si="98"/>
        <v>Technology</v>
      </c>
      <c r="M295" s="1" t="str">
        <f t="shared" ca="1" si="99"/>
        <v>Chair</v>
      </c>
      <c r="N295" s="1" t="str">
        <f t="shared" ca="1" si="100"/>
        <v>Wireless Mouse</v>
      </c>
      <c r="O295" s="1">
        <f t="shared" ca="1" si="101"/>
        <v>48566</v>
      </c>
      <c r="P295" s="1">
        <f t="shared" ca="1" si="102"/>
        <v>6</v>
      </c>
      <c r="Q295" s="19">
        <f t="shared" ca="1" si="103"/>
        <v>0.1</v>
      </c>
      <c r="R295" s="1">
        <f t="shared" ca="1" si="104"/>
        <v>3885.2799999999993</v>
      </c>
      <c r="S295" s="1">
        <f t="shared" ca="1" si="87"/>
        <v>2</v>
      </c>
      <c r="T295" s="19">
        <f t="shared" ca="1" si="88"/>
        <v>7.9999999999999988E-2</v>
      </c>
      <c r="U295" s="1" t="str">
        <f t="shared" ca="1" si="89"/>
        <v>Low Discount</v>
      </c>
    </row>
    <row r="296" spans="1:21" ht="15.6" customHeight="1" x14ac:dyDescent="0.3">
      <c r="A296" s="1" t="str">
        <f t="shared" si="84"/>
        <v>ORD-295</v>
      </c>
      <c r="B296" s="10">
        <f t="shared" ca="1" si="85"/>
        <v>45382</v>
      </c>
      <c r="C296" s="7">
        <f t="shared" ca="1" si="86"/>
        <v>45385</v>
      </c>
      <c r="D296" s="1" t="str">
        <f t="shared" ca="1" si="105"/>
        <v>Standard Class</v>
      </c>
      <c r="E296" s="1" t="str">
        <f t="shared" ca="1" si="91"/>
        <v>CU-155</v>
      </c>
      <c r="F296" s="1" t="str">
        <f t="shared" ca="1" si="92"/>
        <v>Sunil Kumar</v>
      </c>
      <c r="G296" s="1" t="str">
        <f t="shared" ca="1" si="93"/>
        <v>Home Office</v>
      </c>
      <c r="H296" s="1" t="str">
        <f t="shared" si="94"/>
        <v>India</v>
      </c>
      <c r="I296" s="1" t="str">
        <f t="shared" ca="1" si="95"/>
        <v>South</v>
      </c>
      <c r="J296" s="1" t="str">
        <f t="shared" ca="1" si="96"/>
        <v>Karnataka</v>
      </c>
      <c r="K296" s="1" t="str">
        <f t="shared" ca="1" si="97"/>
        <v>Mumbai</v>
      </c>
      <c r="L296" s="1" t="str">
        <f t="shared" ca="1" si="98"/>
        <v>Furniture</v>
      </c>
      <c r="M296" s="1" t="str">
        <f t="shared" ca="1" si="99"/>
        <v>Table</v>
      </c>
      <c r="N296" s="1" t="str">
        <f t="shared" ca="1" si="100"/>
        <v>A4 Paper</v>
      </c>
      <c r="O296" s="1">
        <f t="shared" ca="1" si="101"/>
        <v>17608</v>
      </c>
      <c r="P296" s="1">
        <f t="shared" ca="1" si="102"/>
        <v>4</v>
      </c>
      <c r="Q296" s="19">
        <f t="shared" ca="1" si="103"/>
        <v>0.1</v>
      </c>
      <c r="R296" s="1">
        <f t="shared" ca="1" si="104"/>
        <v>1408.6399999999999</v>
      </c>
      <c r="S296" s="1">
        <f t="shared" ca="1" si="87"/>
        <v>3</v>
      </c>
      <c r="T296" s="19">
        <f t="shared" ca="1" si="88"/>
        <v>7.9999999999999988E-2</v>
      </c>
      <c r="U296" s="1" t="str">
        <f t="shared" ca="1" si="89"/>
        <v>Low Discount</v>
      </c>
    </row>
    <row r="297" spans="1:21" ht="15.6" customHeight="1" x14ac:dyDescent="0.3">
      <c r="A297" s="1" t="str">
        <f t="shared" si="84"/>
        <v>ORD-296</v>
      </c>
      <c r="B297" s="10">
        <f t="shared" ca="1" si="85"/>
        <v>45375</v>
      </c>
      <c r="C297" s="7">
        <f t="shared" ca="1" si="86"/>
        <v>45380</v>
      </c>
      <c r="D297" s="1" t="str">
        <f t="shared" ca="1" si="105"/>
        <v>Standard Class</v>
      </c>
      <c r="E297" s="1" t="str">
        <f t="shared" ca="1" si="91"/>
        <v>CU-357</v>
      </c>
      <c r="F297" s="1" t="str">
        <f t="shared" ca="1" si="92"/>
        <v>Ravi Mehta</v>
      </c>
      <c r="G297" s="1" t="str">
        <f t="shared" ca="1" si="93"/>
        <v>Consumer</v>
      </c>
      <c r="H297" s="1" t="str">
        <f t="shared" si="94"/>
        <v>India</v>
      </c>
      <c r="I297" s="1" t="str">
        <f t="shared" ca="1" si="95"/>
        <v>West</v>
      </c>
      <c r="J297" s="1" t="str">
        <f t="shared" ca="1" si="96"/>
        <v>Tamil Nadu</v>
      </c>
      <c r="K297" s="1" t="str">
        <f t="shared" ca="1" si="97"/>
        <v>Bangalore</v>
      </c>
      <c r="L297" s="1" t="str">
        <f t="shared" ca="1" si="98"/>
        <v>Furniture</v>
      </c>
      <c r="M297" s="1" t="str">
        <f t="shared" ca="1" si="99"/>
        <v>Laptop</v>
      </c>
      <c r="N297" s="1" t="str">
        <f t="shared" ca="1" si="100"/>
        <v>A4 Paper</v>
      </c>
      <c r="O297" s="1">
        <f t="shared" ca="1" si="101"/>
        <v>43268</v>
      </c>
      <c r="P297" s="1">
        <f t="shared" ca="1" si="102"/>
        <v>5</v>
      </c>
      <c r="Q297" s="19">
        <f t="shared" ca="1" si="103"/>
        <v>0.3</v>
      </c>
      <c r="R297" s="1">
        <f t="shared" ca="1" si="104"/>
        <v>-5192.16</v>
      </c>
      <c r="S297" s="1">
        <f t="shared" ca="1" si="87"/>
        <v>5</v>
      </c>
      <c r="T297" s="19">
        <f t="shared" ca="1" si="88"/>
        <v>-0.12</v>
      </c>
      <c r="U297" s="1" t="str">
        <f t="shared" ca="1" si="89"/>
        <v>High Discount</v>
      </c>
    </row>
    <row r="298" spans="1:21" ht="15.6" customHeight="1" x14ac:dyDescent="0.3">
      <c r="A298" s="1" t="str">
        <f t="shared" si="84"/>
        <v>ORD-297</v>
      </c>
      <c r="B298" s="10">
        <f t="shared" ca="1" si="85"/>
        <v>45328</v>
      </c>
      <c r="C298" s="7">
        <f t="shared" ca="1" si="86"/>
        <v>45329</v>
      </c>
      <c r="D298" s="1" t="str">
        <f t="shared" ca="1" si="105"/>
        <v>Second Class</v>
      </c>
      <c r="E298" s="1" t="str">
        <f t="shared" ca="1" si="91"/>
        <v>CU-849</v>
      </c>
      <c r="F298" s="1" t="str">
        <f t="shared" ca="1" si="92"/>
        <v>Rahul Sharma</v>
      </c>
      <c r="G298" s="1" t="str">
        <f t="shared" ca="1" si="93"/>
        <v>Consumer</v>
      </c>
      <c r="H298" s="1" t="str">
        <f t="shared" si="94"/>
        <v>India</v>
      </c>
      <c r="I298" s="1" t="str">
        <f t="shared" ca="1" si="95"/>
        <v>North</v>
      </c>
      <c r="J298" s="1" t="str">
        <f t="shared" ca="1" si="96"/>
        <v>West Bengal</v>
      </c>
      <c r="K298" s="1" t="str">
        <f t="shared" ca="1" si="97"/>
        <v>Kolkata</v>
      </c>
      <c r="L298" s="1" t="str">
        <f t="shared" ca="1" si="98"/>
        <v>Office Supplies</v>
      </c>
      <c r="M298" s="1" t="str">
        <f t="shared" ca="1" si="99"/>
        <v>Paper</v>
      </c>
      <c r="N298" s="1" t="str">
        <f t="shared" ca="1" si="100"/>
        <v>Samsung Galaxy</v>
      </c>
      <c r="O298" s="1">
        <f t="shared" ca="1" si="101"/>
        <v>32524</v>
      </c>
      <c r="P298" s="1">
        <f t="shared" ca="1" si="102"/>
        <v>10</v>
      </c>
      <c r="Q298" s="19">
        <f t="shared" ca="1" si="103"/>
        <v>0.1</v>
      </c>
      <c r="R298" s="1">
        <f t="shared" ca="1" si="104"/>
        <v>2601.9199999999996</v>
      </c>
      <c r="S298" s="1">
        <f t="shared" ca="1" si="87"/>
        <v>1</v>
      </c>
      <c r="T298" s="19">
        <f t="shared" ca="1" si="88"/>
        <v>7.9999999999999988E-2</v>
      </c>
      <c r="U298" s="1" t="str">
        <f t="shared" ca="1" si="89"/>
        <v>Low Discount</v>
      </c>
    </row>
    <row r="299" spans="1:21" ht="15.6" customHeight="1" x14ac:dyDescent="0.3">
      <c r="A299" s="1" t="str">
        <f t="shared" si="84"/>
        <v>ORD-298</v>
      </c>
      <c r="B299" s="10">
        <f t="shared" ca="1" si="85"/>
        <v>45602</v>
      </c>
      <c r="C299" s="7">
        <f t="shared" ca="1" si="86"/>
        <v>45603</v>
      </c>
      <c r="D299" s="1" t="str">
        <f t="shared" ca="1" si="105"/>
        <v>Same Day</v>
      </c>
      <c r="E299" s="1" t="str">
        <f t="shared" ca="1" si="91"/>
        <v>CU-534</v>
      </c>
      <c r="F299" s="1" t="str">
        <f t="shared" ca="1" si="92"/>
        <v>Arjun Malhotra</v>
      </c>
      <c r="G299" s="1" t="str">
        <f t="shared" ca="1" si="93"/>
        <v>Consumer</v>
      </c>
      <c r="H299" s="1" t="str">
        <f t="shared" si="94"/>
        <v>India</v>
      </c>
      <c r="I299" s="1" t="str">
        <f t="shared" ca="1" si="95"/>
        <v>East</v>
      </c>
      <c r="J299" s="1" t="str">
        <f t="shared" ca="1" si="96"/>
        <v>Gujarat</v>
      </c>
      <c r="K299" s="1" t="str">
        <f t="shared" ca="1" si="97"/>
        <v>Bangalore</v>
      </c>
      <c r="L299" s="1" t="str">
        <f t="shared" ca="1" si="98"/>
        <v>Technology</v>
      </c>
      <c r="M299" s="1" t="str">
        <f t="shared" ca="1" si="99"/>
        <v>Paper</v>
      </c>
      <c r="N299" s="1" t="str">
        <f t="shared" ca="1" si="100"/>
        <v>A4 Paper</v>
      </c>
      <c r="O299" s="1">
        <f t="shared" ca="1" si="101"/>
        <v>32964</v>
      </c>
      <c r="P299" s="1">
        <f t="shared" ca="1" si="102"/>
        <v>4</v>
      </c>
      <c r="Q299" s="19">
        <f t="shared" ca="1" si="103"/>
        <v>0.2</v>
      </c>
      <c r="R299" s="1">
        <f t="shared" ca="1" si="104"/>
        <v>-659.28000000000054</v>
      </c>
      <c r="S299" s="1">
        <f t="shared" ca="1" si="87"/>
        <v>1</v>
      </c>
      <c r="T299" s="19">
        <f t="shared" ca="1" si="88"/>
        <v>-2.0000000000000018E-2</v>
      </c>
      <c r="U299" s="1" t="str">
        <f t="shared" ca="1" si="89"/>
        <v>High Discount</v>
      </c>
    </row>
    <row r="300" spans="1:21" ht="15.6" customHeight="1" x14ac:dyDescent="0.3">
      <c r="A300" s="1" t="str">
        <f t="shared" si="84"/>
        <v>ORD-299</v>
      </c>
      <c r="B300" s="10">
        <f t="shared" ca="1" si="85"/>
        <v>45336</v>
      </c>
      <c r="C300" s="7">
        <f t="shared" ca="1" si="86"/>
        <v>45340</v>
      </c>
      <c r="D300" s="1" t="str">
        <f t="shared" ca="1" si="105"/>
        <v>Second Class</v>
      </c>
      <c r="E300" s="1" t="str">
        <f t="shared" ca="1" si="91"/>
        <v>CU-175</v>
      </c>
      <c r="F300" s="1" t="str">
        <f t="shared" ca="1" si="92"/>
        <v>Pooja Yadav</v>
      </c>
      <c r="G300" s="1" t="str">
        <f t="shared" ca="1" si="93"/>
        <v>Consumer</v>
      </c>
      <c r="H300" s="1" t="str">
        <f t="shared" si="94"/>
        <v>India</v>
      </c>
      <c r="I300" s="1" t="str">
        <f t="shared" ca="1" si="95"/>
        <v>East</v>
      </c>
      <c r="J300" s="1" t="str">
        <f t="shared" ca="1" si="96"/>
        <v>Maharashtra</v>
      </c>
      <c r="K300" s="1" t="str">
        <f t="shared" ca="1" si="97"/>
        <v>Kolkata</v>
      </c>
      <c r="L300" s="1" t="str">
        <f t="shared" ca="1" si="98"/>
        <v>Technology</v>
      </c>
      <c r="M300" s="1" t="str">
        <f t="shared" ca="1" si="99"/>
        <v>Paper</v>
      </c>
      <c r="N300" s="1" t="str">
        <f t="shared" ca="1" si="100"/>
        <v>HP Pavilion</v>
      </c>
      <c r="O300" s="1">
        <f t="shared" ca="1" si="101"/>
        <v>9907</v>
      </c>
      <c r="P300" s="1">
        <f t="shared" ca="1" si="102"/>
        <v>9</v>
      </c>
      <c r="Q300" s="19">
        <f t="shared" ca="1" si="103"/>
        <v>0.05</v>
      </c>
      <c r="R300" s="1">
        <f t="shared" ca="1" si="104"/>
        <v>1287.9100000000001</v>
      </c>
      <c r="S300" s="1">
        <f t="shared" ca="1" si="87"/>
        <v>4</v>
      </c>
      <c r="T300" s="19">
        <f t="shared" ca="1" si="88"/>
        <v>0.13</v>
      </c>
      <c r="U300" s="1" t="str">
        <f t="shared" ca="1" si="89"/>
        <v>Low Discount</v>
      </c>
    </row>
    <row r="301" spans="1:21" ht="15.6" customHeight="1" x14ac:dyDescent="0.3">
      <c r="A301" s="1" t="str">
        <f t="shared" si="84"/>
        <v>ORD-300</v>
      </c>
      <c r="B301" s="10">
        <f t="shared" ca="1" si="85"/>
        <v>45343</v>
      </c>
      <c r="C301" s="7">
        <f t="shared" ca="1" si="86"/>
        <v>45348</v>
      </c>
      <c r="D301" s="1" t="str">
        <f t="shared" ca="1" si="105"/>
        <v>Same Day</v>
      </c>
      <c r="E301" s="1" t="str">
        <f t="shared" ca="1" si="91"/>
        <v>CU-338</v>
      </c>
      <c r="F301" s="1" t="str">
        <f t="shared" ca="1" si="92"/>
        <v>Pooja Yadav</v>
      </c>
      <c r="G301" s="1" t="str">
        <f t="shared" ca="1" si="93"/>
        <v>Home Office</v>
      </c>
      <c r="H301" s="1" t="str">
        <f t="shared" si="94"/>
        <v>India</v>
      </c>
      <c r="I301" s="1" t="str">
        <f t="shared" ca="1" si="95"/>
        <v>West</v>
      </c>
      <c r="J301" s="1" t="str">
        <f t="shared" ca="1" si="96"/>
        <v>Delhi</v>
      </c>
      <c r="K301" s="1" t="str">
        <f t="shared" ca="1" si="97"/>
        <v>Chennai</v>
      </c>
      <c r="L301" s="1" t="str">
        <f t="shared" ca="1" si="98"/>
        <v>Technology</v>
      </c>
      <c r="M301" s="1" t="str">
        <f t="shared" ca="1" si="99"/>
        <v>Table</v>
      </c>
      <c r="N301" s="1" t="str">
        <f t="shared" ca="1" si="100"/>
        <v>Wireless Mouse</v>
      </c>
      <c r="O301" s="1">
        <f t="shared" ca="1" si="101"/>
        <v>7139</v>
      </c>
      <c r="P301" s="1">
        <f t="shared" ca="1" si="102"/>
        <v>1</v>
      </c>
      <c r="Q301" s="19">
        <f t="shared" ca="1" si="103"/>
        <v>0.3</v>
      </c>
      <c r="R301" s="1">
        <f t="shared" ca="1" si="104"/>
        <v>-856.68</v>
      </c>
      <c r="S301" s="1">
        <f t="shared" ca="1" si="87"/>
        <v>5</v>
      </c>
      <c r="T301" s="19">
        <f t="shared" ca="1" si="88"/>
        <v>-0.12</v>
      </c>
      <c r="U301" s="1" t="str">
        <f t="shared" ca="1" si="89"/>
        <v>High Discount</v>
      </c>
    </row>
    <row r="302" spans="1:21" ht="15.6" customHeight="1" x14ac:dyDescent="0.3">
      <c r="A302" s="1" t="str">
        <f t="shared" si="84"/>
        <v>ORD-301</v>
      </c>
      <c r="B302" s="10">
        <f t="shared" ca="1" si="85"/>
        <v>45305</v>
      </c>
      <c r="C302" s="7">
        <f t="shared" ca="1" si="86"/>
        <v>45307</v>
      </c>
      <c r="D302" s="1" t="str">
        <f t="shared" ca="1" si="105"/>
        <v>Same Day</v>
      </c>
      <c r="E302" s="1" t="str">
        <f t="shared" ca="1" si="91"/>
        <v>CU-480</v>
      </c>
      <c r="F302" s="1" t="str">
        <f t="shared" ca="1" si="92"/>
        <v>Priya Singh</v>
      </c>
      <c r="G302" s="1" t="str">
        <f t="shared" ca="1" si="93"/>
        <v>Consumer</v>
      </c>
      <c r="H302" s="1" t="str">
        <f t="shared" si="94"/>
        <v>India</v>
      </c>
      <c r="I302" s="1" t="str">
        <f t="shared" ca="1" si="95"/>
        <v>West</v>
      </c>
      <c r="J302" s="1" t="str">
        <f t="shared" ca="1" si="96"/>
        <v>Gujarat</v>
      </c>
      <c r="K302" s="1" t="str">
        <f t="shared" ca="1" si="97"/>
        <v>Kolkata</v>
      </c>
      <c r="L302" s="1" t="str">
        <f t="shared" ca="1" si="98"/>
        <v>Office Supplies</v>
      </c>
      <c r="M302" s="1" t="str">
        <f t="shared" ca="1" si="99"/>
        <v>Table</v>
      </c>
      <c r="N302" s="1" t="str">
        <f t="shared" ca="1" si="100"/>
        <v>A4 Paper</v>
      </c>
      <c r="O302" s="1">
        <f t="shared" ca="1" si="101"/>
        <v>5348</v>
      </c>
      <c r="P302" s="1">
        <f t="shared" ca="1" si="102"/>
        <v>3</v>
      </c>
      <c r="Q302" s="19">
        <f t="shared" ca="1" si="103"/>
        <v>0.05</v>
      </c>
      <c r="R302" s="1">
        <f t="shared" ca="1" si="104"/>
        <v>695.24</v>
      </c>
      <c r="S302" s="1">
        <f t="shared" ca="1" si="87"/>
        <v>2</v>
      </c>
      <c r="T302" s="19">
        <f t="shared" ca="1" si="88"/>
        <v>0.13</v>
      </c>
      <c r="U302" s="1" t="str">
        <f t="shared" ca="1" si="89"/>
        <v>Low Discount</v>
      </c>
    </row>
    <row r="303" spans="1:21" ht="15.6" customHeight="1" x14ac:dyDescent="0.3">
      <c r="A303" s="1" t="str">
        <f t="shared" si="84"/>
        <v>ORD-302</v>
      </c>
      <c r="B303" s="10">
        <f t="shared" ca="1" si="85"/>
        <v>45532</v>
      </c>
      <c r="C303" s="7">
        <f t="shared" ca="1" si="86"/>
        <v>45532</v>
      </c>
      <c r="D303" s="1" t="str">
        <f t="shared" ca="1" si="105"/>
        <v>Standard Class</v>
      </c>
      <c r="E303" s="1" t="str">
        <f t="shared" ca="1" si="91"/>
        <v>CU-111</v>
      </c>
      <c r="F303" s="1" t="str">
        <f t="shared" ca="1" si="92"/>
        <v>Sunil Kumar</v>
      </c>
      <c r="G303" s="1" t="str">
        <f t="shared" ca="1" si="93"/>
        <v>Consumer</v>
      </c>
      <c r="H303" s="1" t="str">
        <f t="shared" si="94"/>
        <v>India</v>
      </c>
      <c r="I303" s="1" t="str">
        <f t="shared" ca="1" si="95"/>
        <v>North</v>
      </c>
      <c r="J303" s="1" t="str">
        <f t="shared" ca="1" si="96"/>
        <v>Delhi</v>
      </c>
      <c r="K303" s="1" t="str">
        <f t="shared" ca="1" si="97"/>
        <v>Bangalore</v>
      </c>
      <c r="L303" s="1" t="str">
        <f t="shared" ca="1" si="98"/>
        <v>Office Supplies</v>
      </c>
      <c r="M303" s="1" t="str">
        <f t="shared" ca="1" si="99"/>
        <v>Laptop</v>
      </c>
      <c r="N303" s="1" t="str">
        <f t="shared" ca="1" si="100"/>
        <v>Office Table</v>
      </c>
      <c r="O303" s="1">
        <f t="shared" ca="1" si="101"/>
        <v>18643</v>
      </c>
      <c r="P303" s="1">
        <f t="shared" ca="1" si="102"/>
        <v>10</v>
      </c>
      <c r="Q303" s="19">
        <f t="shared" ca="1" si="103"/>
        <v>0.3</v>
      </c>
      <c r="R303" s="1">
        <f t="shared" ca="1" si="104"/>
        <v>-2237.16</v>
      </c>
      <c r="S303" s="1">
        <f t="shared" ca="1" si="87"/>
        <v>0</v>
      </c>
      <c r="T303" s="19">
        <f t="shared" ca="1" si="88"/>
        <v>-0.12</v>
      </c>
      <c r="U303" s="1" t="str">
        <f t="shared" ca="1" si="89"/>
        <v>High Discount</v>
      </c>
    </row>
    <row r="304" spans="1:21" ht="15.6" customHeight="1" x14ac:dyDescent="0.3">
      <c r="A304" s="1" t="str">
        <f t="shared" si="84"/>
        <v>ORD-303</v>
      </c>
      <c r="B304" s="10">
        <f t="shared" ca="1" si="85"/>
        <v>45642</v>
      </c>
      <c r="C304" s="7">
        <f t="shared" ca="1" si="86"/>
        <v>45646</v>
      </c>
      <c r="D304" s="1" t="str">
        <f t="shared" ca="1" si="105"/>
        <v>Same Day</v>
      </c>
      <c r="E304" s="1" t="str">
        <f t="shared" ca="1" si="91"/>
        <v>CU-291</v>
      </c>
      <c r="F304" s="1" t="str">
        <f t="shared" ca="1" si="92"/>
        <v>Rahul Sharma</v>
      </c>
      <c r="G304" s="1" t="str">
        <f t="shared" ca="1" si="93"/>
        <v>Consumer</v>
      </c>
      <c r="H304" s="1" t="str">
        <f t="shared" si="94"/>
        <v>India</v>
      </c>
      <c r="I304" s="1" t="str">
        <f t="shared" ca="1" si="95"/>
        <v>West</v>
      </c>
      <c r="J304" s="1" t="str">
        <f t="shared" ca="1" si="96"/>
        <v>Karnataka</v>
      </c>
      <c r="K304" s="1" t="str">
        <f t="shared" ca="1" si="97"/>
        <v>Delhi</v>
      </c>
      <c r="L304" s="1" t="str">
        <f t="shared" ca="1" si="98"/>
        <v>Office Supplies</v>
      </c>
      <c r="M304" s="1" t="str">
        <f t="shared" ca="1" si="99"/>
        <v>Chair</v>
      </c>
      <c r="N304" s="1" t="str">
        <f t="shared" ca="1" si="100"/>
        <v>Samsung Galaxy</v>
      </c>
      <c r="O304" s="1">
        <f t="shared" ca="1" si="101"/>
        <v>45827</v>
      </c>
      <c r="P304" s="1">
        <f t="shared" ca="1" si="102"/>
        <v>4</v>
      </c>
      <c r="Q304" s="19">
        <f t="shared" ca="1" si="103"/>
        <v>0.2</v>
      </c>
      <c r="R304" s="1">
        <f t="shared" ca="1" si="104"/>
        <v>-916.54000000000076</v>
      </c>
      <c r="S304" s="1">
        <f t="shared" ca="1" si="87"/>
        <v>4</v>
      </c>
      <c r="T304" s="19">
        <f t="shared" ca="1" si="88"/>
        <v>-2.0000000000000018E-2</v>
      </c>
      <c r="U304" s="1" t="str">
        <f t="shared" ca="1" si="89"/>
        <v>High Discount</v>
      </c>
    </row>
    <row r="305" spans="1:21" ht="15.6" customHeight="1" x14ac:dyDescent="0.3">
      <c r="A305" s="1" t="str">
        <f t="shared" si="84"/>
        <v>ORD-304</v>
      </c>
      <c r="B305" s="10">
        <f t="shared" ca="1" si="85"/>
        <v>45425</v>
      </c>
      <c r="C305" s="7">
        <f t="shared" ca="1" si="86"/>
        <v>45427</v>
      </c>
      <c r="D305" s="1" t="str">
        <f t="shared" ca="1" si="105"/>
        <v>Same Day</v>
      </c>
      <c r="E305" s="1" t="str">
        <f t="shared" ca="1" si="91"/>
        <v>CU-835</v>
      </c>
      <c r="F305" s="1" t="str">
        <f t="shared" ca="1" si="92"/>
        <v>Rahul Sharma</v>
      </c>
      <c r="G305" s="1" t="str">
        <f t="shared" ca="1" si="93"/>
        <v>Corporate</v>
      </c>
      <c r="H305" s="1" t="str">
        <f t="shared" si="94"/>
        <v>India</v>
      </c>
      <c r="I305" s="1" t="str">
        <f t="shared" ca="1" si="95"/>
        <v>North</v>
      </c>
      <c r="J305" s="1" t="str">
        <f t="shared" ca="1" si="96"/>
        <v>Tamil Nadu</v>
      </c>
      <c r="K305" s="1" t="str">
        <f t="shared" ca="1" si="97"/>
        <v>Ahmedabad</v>
      </c>
      <c r="L305" s="1" t="str">
        <f t="shared" ca="1" si="98"/>
        <v>Technology</v>
      </c>
      <c r="M305" s="1" t="str">
        <f t="shared" ca="1" si="99"/>
        <v>Table</v>
      </c>
      <c r="N305" s="1" t="str">
        <f t="shared" ca="1" si="100"/>
        <v>Samsung Galaxy</v>
      </c>
      <c r="O305" s="1">
        <f t="shared" ca="1" si="101"/>
        <v>33620</v>
      </c>
      <c r="P305" s="1">
        <f t="shared" ca="1" si="102"/>
        <v>5</v>
      </c>
      <c r="Q305" s="19">
        <f t="shared" ca="1" si="103"/>
        <v>0.3</v>
      </c>
      <c r="R305" s="1">
        <f t="shared" ca="1" si="104"/>
        <v>-4034.3999999999996</v>
      </c>
      <c r="S305" s="1">
        <f t="shared" ca="1" si="87"/>
        <v>2</v>
      </c>
      <c r="T305" s="19">
        <f t="shared" ca="1" si="88"/>
        <v>-0.12</v>
      </c>
      <c r="U305" s="1" t="str">
        <f t="shared" ca="1" si="89"/>
        <v>High Discount</v>
      </c>
    </row>
    <row r="306" spans="1:21" ht="15.6" customHeight="1" x14ac:dyDescent="0.3">
      <c r="A306" s="1" t="str">
        <f t="shared" si="84"/>
        <v>ORD-305</v>
      </c>
      <c r="B306" s="10">
        <f t="shared" ca="1" si="85"/>
        <v>45296</v>
      </c>
      <c r="C306" s="7">
        <f t="shared" ca="1" si="86"/>
        <v>45300</v>
      </c>
      <c r="D306" s="1" t="str">
        <f t="shared" ca="1" si="105"/>
        <v>Standard Class</v>
      </c>
      <c r="E306" s="1" t="str">
        <f t="shared" ca="1" si="91"/>
        <v>CU-586</v>
      </c>
      <c r="F306" s="1" t="str">
        <f t="shared" ca="1" si="92"/>
        <v>Sunil Kumar</v>
      </c>
      <c r="G306" s="1" t="str">
        <f t="shared" ca="1" si="93"/>
        <v>Consumer</v>
      </c>
      <c r="H306" s="1" t="str">
        <f t="shared" si="94"/>
        <v>India</v>
      </c>
      <c r="I306" s="1" t="str">
        <f t="shared" ca="1" si="95"/>
        <v>East</v>
      </c>
      <c r="J306" s="1" t="str">
        <f t="shared" ca="1" si="96"/>
        <v>West Bengal</v>
      </c>
      <c r="K306" s="1" t="str">
        <f t="shared" ca="1" si="97"/>
        <v>Kolkata</v>
      </c>
      <c r="L306" s="1" t="str">
        <f t="shared" ca="1" si="98"/>
        <v>Office Supplies</v>
      </c>
      <c r="M306" s="1" t="str">
        <f t="shared" ca="1" si="99"/>
        <v>Chair</v>
      </c>
      <c r="N306" s="1" t="str">
        <f t="shared" ca="1" si="100"/>
        <v>Office Chair</v>
      </c>
      <c r="O306" s="1">
        <f t="shared" ca="1" si="101"/>
        <v>14055</v>
      </c>
      <c r="P306" s="1">
        <f t="shared" ca="1" si="102"/>
        <v>9</v>
      </c>
      <c r="Q306" s="19">
        <f t="shared" ca="1" si="103"/>
        <v>0.2</v>
      </c>
      <c r="R306" s="1">
        <f t="shared" ca="1" si="104"/>
        <v>-281.10000000000025</v>
      </c>
      <c r="S306" s="1">
        <f t="shared" ca="1" si="87"/>
        <v>4</v>
      </c>
      <c r="T306" s="19">
        <f t="shared" ca="1" si="88"/>
        <v>-2.0000000000000018E-2</v>
      </c>
      <c r="U306" s="1" t="str">
        <f t="shared" ca="1" si="89"/>
        <v>High Discount</v>
      </c>
    </row>
    <row r="307" spans="1:21" ht="15.6" customHeight="1" x14ac:dyDescent="0.3">
      <c r="A307" s="1" t="str">
        <f t="shared" si="84"/>
        <v>ORD-306</v>
      </c>
      <c r="B307" s="10">
        <f t="shared" ca="1" si="85"/>
        <v>45303</v>
      </c>
      <c r="C307" s="7">
        <f t="shared" ca="1" si="86"/>
        <v>45304</v>
      </c>
      <c r="D307" s="1" t="str">
        <f t="shared" ca="1" si="105"/>
        <v>Second Class</v>
      </c>
      <c r="E307" s="1" t="str">
        <f t="shared" ca="1" si="91"/>
        <v>CU-411</v>
      </c>
      <c r="F307" s="1" t="str">
        <f t="shared" ca="1" si="92"/>
        <v>Rahul Sharma</v>
      </c>
      <c r="G307" s="1" t="str">
        <f t="shared" ca="1" si="93"/>
        <v>Consumer</v>
      </c>
      <c r="H307" s="1" t="str">
        <f t="shared" si="94"/>
        <v>India</v>
      </c>
      <c r="I307" s="1" t="str">
        <f t="shared" ca="1" si="95"/>
        <v>South</v>
      </c>
      <c r="J307" s="1" t="str">
        <f t="shared" ca="1" si="96"/>
        <v>West Bengal</v>
      </c>
      <c r="K307" s="1" t="str">
        <f t="shared" ca="1" si="97"/>
        <v>Ahmedabad</v>
      </c>
      <c r="L307" s="1" t="str">
        <f t="shared" ca="1" si="98"/>
        <v>Technology</v>
      </c>
      <c r="M307" s="1" t="str">
        <f t="shared" ca="1" si="99"/>
        <v>Laptop</v>
      </c>
      <c r="N307" s="1" t="str">
        <f t="shared" ca="1" si="100"/>
        <v>Samsung Galaxy</v>
      </c>
      <c r="O307" s="1">
        <f t="shared" ca="1" si="101"/>
        <v>6277</v>
      </c>
      <c r="P307" s="1">
        <f t="shared" ca="1" si="102"/>
        <v>9</v>
      </c>
      <c r="Q307" s="19">
        <f t="shared" ca="1" si="103"/>
        <v>0.3</v>
      </c>
      <c r="R307" s="1">
        <f t="shared" ca="1" si="104"/>
        <v>-753.24</v>
      </c>
      <c r="S307" s="1">
        <f t="shared" ca="1" si="87"/>
        <v>1</v>
      </c>
      <c r="T307" s="19">
        <f t="shared" ca="1" si="88"/>
        <v>-0.12</v>
      </c>
      <c r="U307" s="1" t="str">
        <f t="shared" ca="1" si="89"/>
        <v>High Discount</v>
      </c>
    </row>
    <row r="308" spans="1:21" ht="15.6" customHeight="1" x14ac:dyDescent="0.3">
      <c r="A308" s="1" t="str">
        <f t="shared" si="84"/>
        <v>ORD-307</v>
      </c>
      <c r="B308" s="10">
        <f t="shared" ca="1" si="85"/>
        <v>45374</v>
      </c>
      <c r="C308" s="7">
        <f t="shared" ca="1" si="86"/>
        <v>45378</v>
      </c>
      <c r="D308" s="1" t="str">
        <f t="shared" ca="1" si="105"/>
        <v>Second Class</v>
      </c>
      <c r="E308" s="1" t="str">
        <f t="shared" ca="1" si="91"/>
        <v>CU-576</v>
      </c>
      <c r="F308" s="1" t="str">
        <f t="shared" ca="1" si="92"/>
        <v>Sunil Kumar</v>
      </c>
      <c r="G308" s="1" t="str">
        <f t="shared" ca="1" si="93"/>
        <v>Home Office</v>
      </c>
      <c r="H308" s="1" t="str">
        <f t="shared" si="94"/>
        <v>India</v>
      </c>
      <c r="I308" s="1" t="str">
        <f t="shared" ca="1" si="95"/>
        <v>North</v>
      </c>
      <c r="J308" s="1" t="str">
        <f t="shared" ca="1" si="96"/>
        <v>Delhi</v>
      </c>
      <c r="K308" s="1" t="str">
        <f t="shared" ca="1" si="97"/>
        <v>Bangalore</v>
      </c>
      <c r="L308" s="1" t="str">
        <f t="shared" ca="1" si="98"/>
        <v>Office Supplies</v>
      </c>
      <c r="M308" s="1" t="str">
        <f t="shared" ca="1" si="99"/>
        <v>Chair</v>
      </c>
      <c r="N308" s="1" t="str">
        <f t="shared" ca="1" si="100"/>
        <v>Samsung Galaxy</v>
      </c>
      <c r="O308" s="1">
        <f t="shared" ca="1" si="101"/>
        <v>46395</v>
      </c>
      <c r="P308" s="1">
        <f t="shared" ca="1" si="102"/>
        <v>10</v>
      </c>
      <c r="Q308" s="19">
        <f t="shared" ca="1" si="103"/>
        <v>0.3</v>
      </c>
      <c r="R308" s="1">
        <f t="shared" ca="1" si="104"/>
        <v>-5567.4</v>
      </c>
      <c r="S308" s="1">
        <f t="shared" ca="1" si="87"/>
        <v>4</v>
      </c>
      <c r="T308" s="19">
        <f t="shared" ca="1" si="88"/>
        <v>-0.12</v>
      </c>
      <c r="U308" s="1" t="str">
        <f t="shared" ca="1" si="89"/>
        <v>High Discount</v>
      </c>
    </row>
    <row r="309" spans="1:21" ht="15.6" customHeight="1" x14ac:dyDescent="0.3">
      <c r="A309" s="1" t="str">
        <f t="shared" si="84"/>
        <v>ORD-308</v>
      </c>
      <c r="B309" s="10">
        <f t="shared" ca="1" si="85"/>
        <v>45383</v>
      </c>
      <c r="C309" s="7">
        <f t="shared" ca="1" si="86"/>
        <v>45386</v>
      </c>
      <c r="D309" s="1" t="str">
        <f t="shared" ca="1" si="105"/>
        <v>Standard Class</v>
      </c>
      <c r="E309" s="1" t="str">
        <f t="shared" ca="1" si="91"/>
        <v>CU-660</v>
      </c>
      <c r="F309" s="1" t="str">
        <f t="shared" ca="1" si="92"/>
        <v>Priya Singh</v>
      </c>
      <c r="G309" s="1" t="str">
        <f t="shared" ca="1" si="93"/>
        <v>Home Office</v>
      </c>
      <c r="H309" s="1" t="str">
        <f t="shared" si="94"/>
        <v>India</v>
      </c>
      <c r="I309" s="1" t="str">
        <f t="shared" ca="1" si="95"/>
        <v>West</v>
      </c>
      <c r="J309" s="1" t="str">
        <f t="shared" ca="1" si="96"/>
        <v>Gujarat</v>
      </c>
      <c r="K309" s="1" t="str">
        <f t="shared" ca="1" si="97"/>
        <v>Kolkata</v>
      </c>
      <c r="L309" s="1" t="str">
        <f t="shared" ca="1" si="98"/>
        <v>Technology</v>
      </c>
      <c r="M309" s="1" t="str">
        <f t="shared" ca="1" si="99"/>
        <v>Laptop</v>
      </c>
      <c r="N309" s="1" t="str">
        <f t="shared" ca="1" si="100"/>
        <v>A4 Paper</v>
      </c>
      <c r="O309" s="1">
        <f t="shared" ca="1" si="101"/>
        <v>34404</v>
      </c>
      <c r="P309" s="1">
        <f t="shared" ca="1" si="102"/>
        <v>3</v>
      </c>
      <c r="Q309" s="19">
        <f t="shared" ca="1" si="103"/>
        <v>0.2</v>
      </c>
      <c r="R309" s="1">
        <f t="shared" ca="1" si="104"/>
        <v>-688.08000000000061</v>
      </c>
      <c r="S309" s="1">
        <f t="shared" ca="1" si="87"/>
        <v>3</v>
      </c>
      <c r="T309" s="19">
        <f t="shared" ca="1" si="88"/>
        <v>-2.0000000000000018E-2</v>
      </c>
      <c r="U309" s="1" t="str">
        <f t="shared" ca="1" si="89"/>
        <v>High Discount</v>
      </c>
    </row>
    <row r="310" spans="1:21" ht="15.6" customHeight="1" x14ac:dyDescent="0.3">
      <c r="A310" s="1" t="str">
        <f t="shared" si="84"/>
        <v>ORD-309</v>
      </c>
      <c r="B310" s="10">
        <f t="shared" ca="1" si="85"/>
        <v>45483</v>
      </c>
      <c r="C310" s="7">
        <f t="shared" ca="1" si="86"/>
        <v>45483</v>
      </c>
      <c r="D310" s="1" t="str">
        <f t="shared" ca="1" si="105"/>
        <v>Second Class</v>
      </c>
      <c r="E310" s="1" t="str">
        <f t="shared" ca="1" si="91"/>
        <v>CU-898</v>
      </c>
      <c r="F310" s="1" t="str">
        <f t="shared" ca="1" si="92"/>
        <v>Ravi Mehta</v>
      </c>
      <c r="G310" s="1" t="str">
        <f t="shared" ca="1" si="93"/>
        <v>Home Office</v>
      </c>
      <c r="H310" s="1" t="str">
        <f t="shared" si="94"/>
        <v>India</v>
      </c>
      <c r="I310" s="1" t="str">
        <f t="shared" ca="1" si="95"/>
        <v>South</v>
      </c>
      <c r="J310" s="1" t="str">
        <f t="shared" ca="1" si="96"/>
        <v>Delhi</v>
      </c>
      <c r="K310" s="1" t="str">
        <f t="shared" ca="1" si="97"/>
        <v>Delhi</v>
      </c>
      <c r="L310" s="1" t="str">
        <f t="shared" ca="1" si="98"/>
        <v>Technology</v>
      </c>
      <c r="M310" s="1" t="str">
        <f t="shared" ca="1" si="99"/>
        <v>Chair</v>
      </c>
      <c r="N310" s="1" t="str">
        <f t="shared" ca="1" si="100"/>
        <v>A4 Paper</v>
      </c>
      <c r="O310" s="1">
        <f t="shared" ca="1" si="101"/>
        <v>56654</v>
      </c>
      <c r="P310" s="1">
        <f t="shared" ca="1" si="102"/>
        <v>2</v>
      </c>
      <c r="Q310" s="19">
        <f t="shared" ca="1" si="103"/>
        <v>0.2</v>
      </c>
      <c r="R310" s="1">
        <f t="shared" ca="1" si="104"/>
        <v>-1133.0800000000011</v>
      </c>
      <c r="S310" s="1">
        <f t="shared" ca="1" si="87"/>
        <v>0</v>
      </c>
      <c r="T310" s="19">
        <f t="shared" ca="1" si="88"/>
        <v>-2.0000000000000018E-2</v>
      </c>
      <c r="U310" s="1" t="str">
        <f t="shared" ca="1" si="89"/>
        <v>High Discount</v>
      </c>
    </row>
    <row r="311" spans="1:21" ht="15.6" customHeight="1" x14ac:dyDescent="0.3">
      <c r="A311" s="1" t="str">
        <f t="shared" si="84"/>
        <v>ORD-310</v>
      </c>
      <c r="B311" s="10">
        <f t="shared" ca="1" si="85"/>
        <v>45622</v>
      </c>
      <c r="C311" s="7">
        <f t="shared" ca="1" si="86"/>
        <v>45623</v>
      </c>
      <c r="D311" s="1" t="str">
        <f t="shared" ca="1" si="105"/>
        <v>Second Class</v>
      </c>
      <c r="E311" s="1" t="str">
        <f t="shared" ca="1" si="91"/>
        <v>CU-199</v>
      </c>
      <c r="F311" s="1" t="str">
        <f t="shared" ca="1" si="92"/>
        <v>Arjun Malhotra</v>
      </c>
      <c r="G311" s="1" t="str">
        <f t="shared" ca="1" si="93"/>
        <v>Corporate</v>
      </c>
      <c r="H311" s="1" t="str">
        <f t="shared" si="94"/>
        <v>India</v>
      </c>
      <c r="I311" s="1" t="str">
        <f t="shared" ca="1" si="95"/>
        <v>North</v>
      </c>
      <c r="J311" s="1" t="str">
        <f t="shared" ca="1" si="96"/>
        <v>Tamil Nadu</v>
      </c>
      <c r="K311" s="1" t="str">
        <f t="shared" ca="1" si="97"/>
        <v>Chennai</v>
      </c>
      <c r="L311" s="1" t="str">
        <f t="shared" ca="1" si="98"/>
        <v>Furniture</v>
      </c>
      <c r="M311" s="1" t="str">
        <f t="shared" ca="1" si="99"/>
        <v>Paper</v>
      </c>
      <c r="N311" s="1" t="str">
        <f t="shared" ca="1" si="100"/>
        <v>Office Chair</v>
      </c>
      <c r="O311" s="1">
        <f t="shared" ca="1" si="101"/>
        <v>51526</v>
      </c>
      <c r="P311" s="1">
        <f t="shared" ca="1" si="102"/>
        <v>3</v>
      </c>
      <c r="Q311" s="19">
        <f t="shared" ca="1" si="103"/>
        <v>0.1</v>
      </c>
      <c r="R311" s="1">
        <f t="shared" ca="1" si="104"/>
        <v>4122.079999999999</v>
      </c>
      <c r="S311" s="1">
        <f t="shared" ca="1" si="87"/>
        <v>1</v>
      </c>
      <c r="T311" s="19">
        <f t="shared" ca="1" si="88"/>
        <v>7.9999999999999988E-2</v>
      </c>
      <c r="U311" s="1" t="str">
        <f t="shared" ca="1" si="89"/>
        <v>Low Discount</v>
      </c>
    </row>
    <row r="312" spans="1:21" ht="15.6" customHeight="1" x14ac:dyDescent="0.3">
      <c r="A312" s="1" t="str">
        <f t="shared" si="84"/>
        <v>ORD-311</v>
      </c>
      <c r="B312" s="10">
        <f t="shared" ca="1" si="85"/>
        <v>45490</v>
      </c>
      <c r="C312" s="7">
        <f t="shared" ca="1" si="86"/>
        <v>45490</v>
      </c>
      <c r="D312" s="1" t="str">
        <f t="shared" ca="1" si="105"/>
        <v>Standard Class</v>
      </c>
      <c r="E312" s="1" t="str">
        <f t="shared" ca="1" si="91"/>
        <v>CU-187</v>
      </c>
      <c r="F312" s="1" t="str">
        <f t="shared" ca="1" si="92"/>
        <v>Sunil Kumar</v>
      </c>
      <c r="G312" s="1" t="str">
        <f t="shared" ca="1" si="93"/>
        <v>Home Office</v>
      </c>
      <c r="H312" s="1" t="str">
        <f t="shared" si="94"/>
        <v>India</v>
      </c>
      <c r="I312" s="1" t="str">
        <f t="shared" ca="1" si="95"/>
        <v>West</v>
      </c>
      <c r="J312" s="1" t="str">
        <f t="shared" ca="1" si="96"/>
        <v>West Bengal</v>
      </c>
      <c r="K312" s="1" t="str">
        <f t="shared" ca="1" si="97"/>
        <v>Delhi</v>
      </c>
      <c r="L312" s="1" t="str">
        <f t="shared" ca="1" si="98"/>
        <v>Furniture</v>
      </c>
      <c r="M312" s="1" t="str">
        <f t="shared" ca="1" si="99"/>
        <v>Table</v>
      </c>
      <c r="N312" s="1" t="str">
        <f t="shared" ca="1" si="100"/>
        <v>HP Pavilion</v>
      </c>
      <c r="O312" s="1">
        <f t="shared" ca="1" si="101"/>
        <v>6903</v>
      </c>
      <c r="P312" s="1">
        <f t="shared" ca="1" si="102"/>
        <v>1</v>
      </c>
      <c r="Q312" s="19">
        <f t="shared" ca="1" si="103"/>
        <v>0.2</v>
      </c>
      <c r="R312" s="1">
        <f t="shared" ca="1" si="104"/>
        <v>-138.06000000000012</v>
      </c>
      <c r="S312" s="1">
        <f t="shared" ca="1" si="87"/>
        <v>0</v>
      </c>
      <c r="T312" s="19">
        <f t="shared" ca="1" si="88"/>
        <v>-2.0000000000000018E-2</v>
      </c>
      <c r="U312" s="1" t="str">
        <f t="shared" ca="1" si="89"/>
        <v>High Discount</v>
      </c>
    </row>
    <row r="313" spans="1:21" ht="15.6" customHeight="1" x14ac:dyDescent="0.3">
      <c r="A313" s="1" t="str">
        <f t="shared" si="84"/>
        <v>ORD-312</v>
      </c>
      <c r="B313" s="10">
        <f t="shared" ca="1" si="85"/>
        <v>45515</v>
      </c>
      <c r="C313" s="7">
        <f t="shared" ca="1" si="86"/>
        <v>45518</v>
      </c>
      <c r="D313" s="1" t="str">
        <f t="shared" ca="1" si="105"/>
        <v>Same Day</v>
      </c>
      <c r="E313" s="1" t="str">
        <f t="shared" ca="1" si="91"/>
        <v>CU-506</v>
      </c>
      <c r="F313" s="1" t="str">
        <f t="shared" ca="1" si="92"/>
        <v>Amit Verma</v>
      </c>
      <c r="G313" s="1" t="str">
        <f t="shared" ca="1" si="93"/>
        <v>Home Office</v>
      </c>
      <c r="H313" s="1" t="str">
        <f t="shared" si="94"/>
        <v>India</v>
      </c>
      <c r="I313" s="1" t="str">
        <f t="shared" ca="1" si="95"/>
        <v>East</v>
      </c>
      <c r="J313" s="1" t="str">
        <f t="shared" ca="1" si="96"/>
        <v>Gujarat</v>
      </c>
      <c r="K313" s="1" t="str">
        <f t="shared" ca="1" si="97"/>
        <v>Chennai</v>
      </c>
      <c r="L313" s="1" t="str">
        <f t="shared" ca="1" si="98"/>
        <v>Office Supplies</v>
      </c>
      <c r="M313" s="1" t="str">
        <f t="shared" ca="1" si="99"/>
        <v>Laptop</v>
      </c>
      <c r="N313" s="1" t="str">
        <f t="shared" ca="1" si="100"/>
        <v>HP Pavilion</v>
      </c>
      <c r="O313" s="1">
        <f t="shared" ca="1" si="101"/>
        <v>4081</v>
      </c>
      <c r="P313" s="1">
        <f t="shared" ca="1" si="102"/>
        <v>3</v>
      </c>
      <c r="Q313" s="19">
        <f t="shared" ca="1" si="103"/>
        <v>0.2</v>
      </c>
      <c r="R313" s="1">
        <f t="shared" ca="1" si="104"/>
        <v>-81.620000000000076</v>
      </c>
      <c r="S313" s="1">
        <f t="shared" ca="1" si="87"/>
        <v>3</v>
      </c>
      <c r="T313" s="19">
        <f t="shared" ca="1" si="88"/>
        <v>-2.0000000000000018E-2</v>
      </c>
      <c r="U313" s="1" t="str">
        <f t="shared" ca="1" si="89"/>
        <v>High Discount</v>
      </c>
    </row>
    <row r="314" spans="1:21" ht="15.6" customHeight="1" x14ac:dyDescent="0.3">
      <c r="A314" s="1" t="str">
        <f t="shared" si="84"/>
        <v>ORD-313</v>
      </c>
      <c r="B314" s="10">
        <f t="shared" ca="1" si="85"/>
        <v>45545</v>
      </c>
      <c r="C314" s="7">
        <f t="shared" ca="1" si="86"/>
        <v>45545</v>
      </c>
      <c r="D314" s="1" t="str">
        <f t="shared" ca="1" si="105"/>
        <v>Second Class</v>
      </c>
      <c r="E314" s="1" t="str">
        <f t="shared" ca="1" si="91"/>
        <v>CU-301</v>
      </c>
      <c r="F314" s="1" t="str">
        <f t="shared" ca="1" si="92"/>
        <v>Rahul Sharma</v>
      </c>
      <c r="G314" s="1" t="str">
        <f t="shared" ca="1" si="93"/>
        <v>Corporate</v>
      </c>
      <c r="H314" s="1" t="str">
        <f t="shared" si="94"/>
        <v>India</v>
      </c>
      <c r="I314" s="1" t="str">
        <f t="shared" ca="1" si="95"/>
        <v>South</v>
      </c>
      <c r="J314" s="1" t="str">
        <f t="shared" ca="1" si="96"/>
        <v>Karnataka</v>
      </c>
      <c r="K314" s="1" t="str">
        <f t="shared" ca="1" si="97"/>
        <v>Chennai</v>
      </c>
      <c r="L314" s="1" t="str">
        <f t="shared" ca="1" si="98"/>
        <v>Technology</v>
      </c>
      <c r="M314" s="1" t="str">
        <f t="shared" ca="1" si="99"/>
        <v>Table</v>
      </c>
      <c r="N314" s="1" t="str">
        <f t="shared" ca="1" si="100"/>
        <v>Office Chair</v>
      </c>
      <c r="O314" s="1">
        <f t="shared" ca="1" si="101"/>
        <v>9930</v>
      </c>
      <c r="P314" s="1">
        <f t="shared" ca="1" si="102"/>
        <v>6</v>
      </c>
      <c r="Q314" s="19">
        <f t="shared" ca="1" si="103"/>
        <v>0.3</v>
      </c>
      <c r="R314" s="1">
        <f t="shared" ca="1" si="104"/>
        <v>-1191.5999999999999</v>
      </c>
      <c r="S314" s="1">
        <f t="shared" ca="1" si="87"/>
        <v>0</v>
      </c>
      <c r="T314" s="19">
        <f t="shared" ca="1" si="88"/>
        <v>-0.12</v>
      </c>
      <c r="U314" s="1" t="str">
        <f t="shared" ca="1" si="89"/>
        <v>High Discount</v>
      </c>
    </row>
    <row r="315" spans="1:21" ht="15.6" customHeight="1" x14ac:dyDescent="0.3">
      <c r="A315" s="1" t="str">
        <f t="shared" si="84"/>
        <v>ORD-314</v>
      </c>
      <c r="B315" s="10">
        <f t="shared" ca="1" si="85"/>
        <v>45634</v>
      </c>
      <c r="C315" s="7">
        <f t="shared" ca="1" si="86"/>
        <v>45636</v>
      </c>
      <c r="D315" s="1" t="str">
        <f t="shared" ca="1" si="105"/>
        <v>Second Class</v>
      </c>
      <c r="E315" s="1" t="str">
        <f t="shared" ca="1" si="91"/>
        <v>CU-112</v>
      </c>
      <c r="F315" s="1" t="str">
        <f t="shared" ca="1" si="92"/>
        <v>Arjun Malhotra</v>
      </c>
      <c r="G315" s="1" t="str">
        <f t="shared" ca="1" si="93"/>
        <v>Consumer</v>
      </c>
      <c r="H315" s="1" t="str">
        <f t="shared" si="94"/>
        <v>India</v>
      </c>
      <c r="I315" s="1" t="str">
        <f t="shared" ca="1" si="95"/>
        <v>East</v>
      </c>
      <c r="J315" s="1" t="str">
        <f t="shared" ca="1" si="96"/>
        <v>Maharashtra</v>
      </c>
      <c r="K315" s="1" t="str">
        <f t="shared" ca="1" si="97"/>
        <v>Mumbai</v>
      </c>
      <c r="L315" s="1" t="str">
        <f t="shared" ca="1" si="98"/>
        <v>Office Supplies</v>
      </c>
      <c r="M315" s="1" t="str">
        <f t="shared" ca="1" si="99"/>
        <v>Paper</v>
      </c>
      <c r="N315" s="1" t="str">
        <f t="shared" ca="1" si="100"/>
        <v>HP Pavilion</v>
      </c>
      <c r="O315" s="1">
        <f t="shared" ca="1" si="101"/>
        <v>11914</v>
      </c>
      <c r="P315" s="1">
        <f t="shared" ca="1" si="102"/>
        <v>8</v>
      </c>
      <c r="Q315" s="19">
        <f t="shared" ca="1" si="103"/>
        <v>0.1</v>
      </c>
      <c r="R315" s="1">
        <f t="shared" ca="1" si="104"/>
        <v>953.11999999999989</v>
      </c>
      <c r="S315" s="1">
        <f t="shared" ca="1" si="87"/>
        <v>2</v>
      </c>
      <c r="T315" s="19">
        <f t="shared" ca="1" si="88"/>
        <v>7.9999999999999988E-2</v>
      </c>
      <c r="U315" s="1" t="str">
        <f t="shared" ca="1" si="89"/>
        <v>Low Discount</v>
      </c>
    </row>
    <row r="316" spans="1:21" ht="15.6" customHeight="1" x14ac:dyDescent="0.3">
      <c r="A316" s="1" t="str">
        <f t="shared" si="84"/>
        <v>ORD-315</v>
      </c>
      <c r="B316" s="10">
        <f t="shared" ca="1" si="85"/>
        <v>45514</v>
      </c>
      <c r="C316" s="7">
        <f t="shared" ca="1" si="86"/>
        <v>45518</v>
      </c>
      <c r="D316" s="1" t="str">
        <f t="shared" ca="1" si="105"/>
        <v>Same Day</v>
      </c>
      <c r="E316" s="1" t="str">
        <f t="shared" ca="1" si="91"/>
        <v>CU-870</v>
      </c>
      <c r="F316" s="1" t="str">
        <f t="shared" ca="1" si="92"/>
        <v>Sunil Kumar</v>
      </c>
      <c r="G316" s="1" t="str">
        <f t="shared" ca="1" si="93"/>
        <v>Home Office</v>
      </c>
      <c r="H316" s="1" t="str">
        <f t="shared" si="94"/>
        <v>India</v>
      </c>
      <c r="I316" s="1" t="str">
        <f t="shared" ca="1" si="95"/>
        <v>North</v>
      </c>
      <c r="J316" s="1" t="str">
        <f t="shared" ca="1" si="96"/>
        <v>West Bengal</v>
      </c>
      <c r="K316" s="1" t="str">
        <f t="shared" ca="1" si="97"/>
        <v>Kolkata</v>
      </c>
      <c r="L316" s="1" t="str">
        <f t="shared" ca="1" si="98"/>
        <v>Furniture</v>
      </c>
      <c r="M316" s="1" t="str">
        <f t="shared" ca="1" si="99"/>
        <v>Table</v>
      </c>
      <c r="N316" s="1" t="str">
        <f t="shared" ca="1" si="100"/>
        <v>A4 Paper</v>
      </c>
      <c r="O316" s="1">
        <f t="shared" ca="1" si="101"/>
        <v>2872</v>
      </c>
      <c r="P316" s="1">
        <f t="shared" ca="1" si="102"/>
        <v>5</v>
      </c>
      <c r="Q316" s="19">
        <f t="shared" ca="1" si="103"/>
        <v>0.1</v>
      </c>
      <c r="R316" s="1">
        <f t="shared" ca="1" si="104"/>
        <v>229.75999999999996</v>
      </c>
      <c r="S316" s="1">
        <f t="shared" ca="1" si="87"/>
        <v>4</v>
      </c>
      <c r="T316" s="19">
        <f t="shared" ca="1" si="88"/>
        <v>7.9999999999999988E-2</v>
      </c>
      <c r="U316" s="1" t="str">
        <f t="shared" ca="1" si="89"/>
        <v>Low Discount</v>
      </c>
    </row>
    <row r="317" spans="1:21" ht="15.6" customHeight="1" x14ac:dyDescent="0.3">
      <c r="A317" s="1" t="str">
        <f t="shared" si="84"/>
        <v>ORD-316</v>
      </c>
      <c r="B317" s="10">
        <f t="shared" ca="1" si="85"/>
        <v>45537</v>
      </c>
      <c r="C317" s="7">
        <f t="shared" ca="1" si="86"/>
        <v>45537</v>
      </c>
      <c r="D317" s="1" t="str">
        <f t="shared" ca="1" si="105"/>
        <v>Standard Class</v>
      </c>
      <c r="E317" s="1" t="str">
        <f t="shared" ca="1" si="91"/>
        <v>CU-224</v>
      </c>
      <c r="F317" s="1" t="str">
        <f t="shared" ca="1" si="92"/>
        <v>Amit Verma</v>
      </c>
      <c r="G317" s="1" t="str">
        <f t="shared" ca="1" si="93"/>
        <v>Corporate</v>
      </c>
      <c r="H317" s="1" t="str">
        <f t="shared" si="94"/>
        <v>India</v>
      </c>
      <c r="I317" s="1" t="str">
        <f t="shared" ca="1" si="95"/>
        <v>South</v>
      </c>
      <c r="J317" s="1" t="str">
        <f t="shared" ca="1" si="96"/>
        <v>Tamil Nadu</v>
      </c>
      <c r="K317" s="1" t="str">
        <f t="shared" ca="1" si="97"/>
        <v>Chennai</v>
      </c>
      <c r="L317" s="1" t="str">
        <f t="shared" ca="1" si="98"/>
        <v>Technology</v>
      </c>
      <c r="M317" s="1" t="str">
        <f t="shared" ca="1" si="99"/>
        <v>Chair</v>
      </c>
      <c r="N317" s="1" t="str">
        <f t="shared" ca="1" si="100"/>
        <v>Office Table</v>
      </c>
      <c r="O317" s="1">
        <f t="shared" ca="1" si="101"/>
        <v>17714</v>
      </c>
      <c r="P317" s="1">
        <f t="shared" ca="1" si="102"/>
        <v>2</v>
      </c>
      <c r="Q317" s="19">
        <f t="shared" ca="1" si="103"/>
        <v>0.05</v>
      </c>
      <c r="R317" s="1">
        <f t="shared" ca="1" si="104"/>
        <v>2302.8200000000002</v>
      </c>
      <c r="S317" s="1">
        <f t="shared" ca="1" si="87"/>
        <v>0</v>
      </c>
      <c r="T317" s="19">
        <f t="shared" ca="1" si="88"/>
        <v>0.13</v>
      </c>
      <c r="U317" s="1" t="str">
        <f t="shared" ca="1" si="89"/>
        <v>Low Discount</v>
      </c>
    </row>
    <row r="318" spans="1:21" ht="15.6" customHeight="1" x14ac:dyDescent="0.3">
      <c r="A318" s="1" t="str">
        <f t="shared" si="84"/>
        <v>ORD-317</v>
      </c>
      <c r="B318" s="10">
        <f t="shared" ca="1" si="85"/>
        <v>45365</v>
      </c>
      <c r="C318" s="7">
        <f t="shared" ca="1" si="86"/>
        <v>45368</v>
      </c>
      <c r="D318" s="1" t="str">
        <f t="shared" ca="1" si="105"/>
        <v>Same Day</v>
      </c>
      <c r="E318" s="1" t="str">
        <f t="shared" ca="1" si="91"/>
        <v>CU-578</v>
      </c>
      <c r="F318" s="1" t="str">
        <f t="shared" ca="1" si="92"/>
        <v>Ravi Mehta</v>
      </c>
      <c r="G318" s="1" t="str">
        <f t="shared" ca="1" si="93"/>
        <v>Consumer</v>
      </c>
      <c r="H318" s="1" t="str">
        <f t="shared" si="94"/>
        <v>India</v>
      </c>
      <c r="I318" s="1" t="str">
        <f t="shared" ca="1" si="95"/>
        <v>East</v>
      </c>
      <c r="J318" s="1" t="str">
        <f t="shared" ca="1" si="96"/>
        <v>West Bengal</v>
      </c>
      <c r="K318" s="1" t="str">
        <f t="shared" ca="1" si="97"/>
        <v>Mumbai</v>
      </c>
      <c r="L318" s="1" t="str">
        <f t="shared" ca="1" si="98"/>
        <v>Technology</v>
      </c>
      <c r="M318" s="1" t="str">
        <f t="shared" ca="1" si="99"/>
        <v>Chair</v>
      </c>
      <c r="N318" s="1" t="str">
        <f t="shared" ca="1" si="100"/>
        <v>Wireless Mouse</v>
      </c>
      <c r="O318" s="1">
        <f t="shared" ca="1" si="101"/>
        <v>4670</v>
      </c>
      <c r="P318" s="1">
        <f t="shared" ca="1" si="102"/>
        <v>7</v>
      </c>
      <c r="Q318" s="19">
        <f t="shared" ca="1" si="103"/>
        <v>0.2</v>
      </c>
      <c r="R318" s="1">
        <f t="shared" ca="1" si="104"/>
        <v>-93.400000000000077</v>
      </c>
      <c r="S318" s="1">
        <f t="shared" ca="1" si="87"/>
        <v>3</v>
      </c>
      <c r="T318" s="19">
        <f t="shared" ca="1" si="88"/>
        <v>-2.0000000000000018E-2</v>
      </c>
      <c r="U318" s="1" t="str">
        <f t="shared" ca="1" si="89"/>
        <v>High Discount</v>
      </c>
    </row>
    <row r="319" spans="1:21" ht="15.6" customHeight="1" x14ac:dyDescent="0.3">
      <c r="A319" s="1" t="str">
        <f t="shared" si="84"/>
        <v>ORD-318</v>
      </c>
      <c r="B319" s="10">
        <f t="shared" ca="1" si="85"/>
        <v>45306</v>
      </c>
      <c r="C319" s="7">
        <f t="shared" ca="1" si="86"/>
        <v>45311</v>
      </c>
      <c r="D319" s="1" t="str">
        <f t="shared" ca="1" si="105"/>
        <v>Same Day</v>
      </c>
      <c r="E319" s="1" t="str">
        <f t="shared" ca="1" si="91"/>
        <v>CU-632</v>
      </c>
      <c r="F319" s="1" t="str">
        <f t="shared" ca="1" si="92"/>
        <v>Arjun Malhotra</v>
      </c>
      <c r="G319" s="1" t="str">
        <f t="shared" ca="1" si="93"/>
        <v>Home Office</v>
      </c>
      <c r="H319" s="1" t="str">
        <f t="shared" si="94"/>
        <v>India</v>
      </c>
      <c r="I319" s="1" t="str">
        <f t="shared" ca="1" si="95"/>
        <v>East</v>
      </c>
      <c r="J319" s="1" t="str">
        <f t="shared" ca="1" si="96"/>
        <v>West Bengal</v>
      </c>
      <c r="K319" s="1" t="str">
        <f t="shared" ca="1" si="97"/>
        <v>Mumbai</v>
      </c>
      <c r="L319" s="1" t="str">
        <f t="shared" ca="1" si="98"/>
        <v>Furniture</v>
      </c>
      <c r="M319" s="1" t="str">
        <f t="shared" ca="1" si="99"/>
        <v>Laptop</v>
      </c>
      <c r="N319" s="1" t="str">
        <f t="shared" ca="1" si="100"/>
        <v>HP Pavilion</v>
      </c>
      <c r="O319" s="1">
        <f t="shared" ca="1" si="101"/>
        <v>18464</v>
      </c>
      <c r="P319" s="1">
        <f t="shared" ca="1" si="102"/>
        <v>10</v>
      </c>
      <c r="Q319" s="19">
        <f t="shared" ca="1" si="103"/>
        <v>0.2</v>
      </c>
      <c r="R319" s="1">
        <f t="shared" ca="1" si="104"/>
        <v>-369.28000000000031</v>
      </c>
      <c r="S319" s="1">
        <f t="shared" ca="1" si="87"/>
        <v>5</v>
      </c>
      <c r="T319" s="19">
        <f t="shared" ca="1" si="88"/>
        <v>-2.0000000000000018E-2</v>
      </c>
      <c r="U319" s="1" t="str">
        <f t="shared" ca="1" si="89"/>
        <v>High Discount</v>
      </c>
    </row>
    <row r="320" spans="1:21" ht="15.6" customHeight="1" x14ac:dyDescent="0.3">
      <c r="A320" s="1" t="str">
        <f t="shared" si="84"/>
        <v>ORD-319</v>
      </c>
      <c r="B320" s="10">
        <f t="shared" ca="1" si="85"/>
        <v>45321</v>
      </c>
      <c r="C320" s="7">
        <f t="shared" ca="1" si="86"/>
        <v>45323</v>
      </c>
      <c r="D320" s="1" t="str">
        <f t="shared" ca="1" si="105"/>
        <v>Same Day</v>
      </c>
      <c r="E320" s="1" t="str">
        <f t="shared" ca="1" si="91"/>
        <v>CU-397</v>
      </c>
      <c r="F320" s="1" t="str">
        <f t="shared" ca="1" si="92"/>
        <v>Arjun Malhotra</v>
      </c>
      <c r="G320" s="1" t="str">
        <f t="shared" ca="1" si="93"/>
        <v>Consumer</v>
      </c>
      <c r="H320" s="1" t="str">
        <f t="shared" si="94"/>
        <v>India</v>
      </c>
      <c r="I320" s="1" t="str">
        <f t="shared" ca="1" si="95"/>
        <v>West</v>
      </c>
      <c r="J320" s="1" t="str">
        <f t="shared" ca="1" si="96"/>
        <v>Gujarat</v>
      </c>
      <c r="K320" s="1" t="str">
        <f t="shared" ca="1" si="97"/>
        <v>Delhi</v>
      </c>
      <c r="L320" s="1" t="str">
        <f t="shared" ca="1" si="98"/>
        <v>Furniture</v>
      </c>
      <c r="M320" s="1" t="str">
        <f t="shared" ca="1" si="99"/>
        <v>Mobile</v>
      </c>
      <c r="N320" s="1" t="str">
        <f t="shared" ca="1" si="100"/>
        <v>Samsung Galaxy</v>
      </c>
      <c r="O320" s="1">
        <f t="shared" ca="1" si="101"/>
        <v>56004</v>
      </c>
      <c r="P320" s="1">
        <f t="shared" ca="1" si="102"/>
        <v>9</v>
      </c>
      <c r="Q320" s="19">
        <f t="shared" ca="1" si="103"/>
        <v>0</v>
      </c>
      <c r="R320" s="1">
        <f t="shared" ca="1" si="104"/>
        <v>10080.719999999999</v>
      </c>
      <c r="S320" s="1">
        <f t="shared" ca="1" si="87"/>
        <v>2</v>
      </c>
      <c r="T320" s="19">
        <f t="shared" ca="1" si="88"/>
        <v>0.18</v>
      </c>
      <c r="U320" s="1" t="str">
        <f t="shared" ca="1" si="89"/>
        <v>Low Discount</v>
      </c>
    </row>
    <row r="321" spans="1:21" ht="15.6" customHeight="1" x14ac:dyDescent="0.3">
      <c r="A321" s="1" t="str">
        <f t="shared" si="84"/>
        <v>ORD-320</v>
      </c>
      <c r="B321" s="10">
        <f t="shared" ca="1" si="85"/>
        <v>45430</v>
      </c>
      <c r="C321" s="7">
        <f t="shared" ca="1" si="86"/>
        <v>45432</v>
      </c>
      <c r="D321" s="1" t="str">
        <f t="shared" ca="1" si="105"/>
        <v>Same Day</v>
      </c>
      <c r="E321" s="1" t="str">
        <f t="shared" ca="1" si="91"/>
        <v>CU-893</v>
      </c>
      <c r="F321" s="1" t="str">
        <f t="shared" ca="1" si="92"/>
        <v>Ravi Mehta</v>
      </c>
      <c r="G321" s="1" t="str">
        <f t="shared" ca="1" si="93"/>
        <v>Corporate</v>
      </c>
      <c r="H321" s="1" t="str">
        <f t="shared" si="94"/>
        <v>India</v>
      </c>
      <c r="I321" s="1" t="str">
        <f t="shared" ca="1" si="95"/>
        <v>East</v>
      </c>
      <c r="J321" s="1" t="str">
        <f t="shared" ca="1" si="96"/>
        <v>Gujarat</v>
      </c>
      <c r="K321" s="1" t="str">
        <f t="shared" ca="1" si="97"/>
        <v>Mumbai</v>
      </c>
      <c r="L321" s="1" t="str">
        <f t="shared" ca="1" si="98"/>
        <v>Furniture</v>
      </c>
      <c r="M321" s="1" t="str">
        <f t="shared" ca="1" si="99"/>
        <v>Chair</v>
      </c>
      <c r="N321" s="1" t="str">
        <f t="shared" ca="1" si="100"/>
        <v>A4 Paper</v>
      </c>
      <c r="O321" s="1">
        <f t="shared" ca="1" si="101"/>
        <v>4690</v>
      </c>
      <c r="P321" s="1">
        <f t="shared" ca="1" si="102"/>
        <v>10</v>
      </c>
      <c r="Q321" s="19">
        <f t="shared" ca="1" si="103"/>
        <v>0.3</v>
      </c>
      <c r="R321" s="1">
        <f t="shared" ca="1" si="104"/>
        <v>-562.79999999999995</v>
      </c>
      <c r="S321" s="1">
        <f t="shared" ca="1" si="87"/>
        <v>2</v>
      </c>
      <c r="T321" s="19">
        <f t="shared" ca="1" si="88"/>
        <v>-0.12</v>
      </c>
      <c r="U321" s="1" t="str">
        <f t="shared" ca="1" si="89"/>
        <v>High Discount</v>
      </c>
    </row>
    <row r="322" spans="1:21" ht="15.6" customHeight="1" x14ac:dyDescent="0.3">
      <c r="A322" s="1" t="str">
        <f t="shared" ref="A322:A385" si="106">"ORD-"&amp;(ROW()-1)</f>
        <v>ORD-321</v>
      </c>
      <c r="B322" s="10">
        <f t="shared" ref="B322:B385" ca="1" si="107">DATE(2024,1,1)+RANDBETWEEN(1,365)</f>
        <v>45640</v>
      </c>
      <c r="C322" s="7">
        <f t="shared" ref="C322:C385" ca="1" si="108">B322+RANDBETWEEN(0,5)</f>
        <v>45641</v>
      </c>
      <c r="D322" s="1" t="str">
        <f t="shared" ca="1" si="105"/>
        <v>Standard Class</v>
      </c>
      <c r="E322" s="1" t="str">
        <f t="shared" ca="1" si="91"/>
        <v>CU-913</v>
      </c>
      <c r="F322" s="1" t="str">
        <f t="shared" ca="1" si="92"/>
        <v>Sunil Kumar</v>
      </c>
      <c r="G322" s="1" t="str">
        <f t="shared" ca="1" si="93"/>
        <v>Consumer</v>
      </c>
      <c r="H322" s="1" t="str">
        <f t="shared" si="94"/>
        <v>India</v>
      </c>
      <c r="I322" s="1" t="str">
        <f t="shared" ca="1" si="95"/>
        <v>West</v>
      </c>
      <c r="J322" s="1" t="str">
        <f t="shared" ca="1" si="96"/>
        <v>Karnataka</v>
      </c>
      <c r="K322" s="1" t="str">
        <f t="shared" ca="1" si="97"/>
        <v>Kolkata</v>
      </c>
      <c r="L322" s="1" t="str">
        <f t="shared" ca="1" si="98"/>
        <v>Furniture</v>
      </c>
      <c r="M322" s="1" t="str">
        <f t="shared" ca="1" si="99"/>
        <v>Paper</v>
      </c>
      <c r="N322" s="1" t="str">
        <f t="shared" ca="1" si="100"/>
        <v>A4 Paper</v>
      </c>
      <c r="O322" s="1">
        <f t="shared" ca="1" si="101"/>
        <v>41730</v>
      </c>
      <c r="P322" s="1">
        <f t="shared" ca="1" si="102"/>
        <v>2</v>
      </c>
      <c r="Q322" s="19">
        <f t="shared" ca="1" si="103"/>
        <v>0</v>
      </c>
      <c r="R322" s="1">
        <f t="shared" ca="1" si="104"/>
        <v>7511.4</v>
      </c>
      <c r="S322" s="1">
        <f t="shared" ref="S322:S385" ca="1" si="109">C322-B322</f>
        <v>1</v>
      </c>
      <c r="T322" s="19">
        <f t="shared" ref="T322:T385" ca="1" si="110">R322/O322</f>
        <v>0.18</v>
      </c>
      <c r="U322" s="1" t="str">
        <f t="shared" ref="U322:U385" ca="1" si="111">IF(Q322&gt;=0.2,"High Discount","Low Discount")</f>
        <v>Low Discount</v>
      </c>
    </row>
    <row r="323" spans="1:21" ht="15.6" customHeight="1" x14ac:dyDescent="0.3">
      <c r="A323" s="1" t="str">
        <f t="shared" si="106"/>
        <v>ORD-322</v>
      </c>
      <c r="B323" s="10">
        <f t="shared" ca="1" si="107"/>
        <v>45394</v>
      </c>
      <c r="C323" s="7">
        <f t="shared" ca="1" si="108"/>
        <v>45395</v>
      </c>
      <c r="D323" s="1" t="str">
        <f t="shared" ca="1" si="105"/>
        <v>Same Day</v>
      </c>
      <c r="E323" s="1" t="str">
        <f t="shared" ref="E323:E386" ca="1" si="112">"CU-"&amp;RANDBETWEEN(100,999)</f>
        <v>CU-242</v>
      </c>
      <c r="F323" s="1" t="str">
        <f t="shared" ref="F323:F386" ca="1" si="113">CHOOSE(RANDBETWEEN(1,8),"Rahul Sharma","Amit Verma","Priya Singh","Sunil Kumar","Neha Gupta","Ravi Mehta","Pooja Yadav","Arjun Malhotra")</f>
        <v>Ravi Mehta</v>
      </c>
      <c r="G323" s="1" t="str">
        <f t="shared" ref="G323:G386" ca="1" si="114">CHOOSE(RANDBETWEEN(1,3),"Consumer","Corporate","Home Office")</f>
        <v>Corporate</v>
      </c>
      <c r="H323" s="1" t="str">
        <f t="shared" ref="H323:H386" si="115">"India"</f>
        <v>India</v>
      </c>
      <c r="I323" s="1" t="str">
        <f t="shared" ref="I323:I386" ca="1" si="116">CHOOSE(RANDBETWEEN(1,4),"North","South","East","West")</f>
        <v>North</v>
      </c>
      <c r="J323" s="1" t="str">
        <f t="shared" ref="J323:J386" ca="1" si="117">CHOOSE(RANDBETWEEN(1,6),"Delhi","Maharashtra","Karnataka","West Bengal","Gujarat","Tamil Nadu")</f>
        <v>Gujarat</v>
      </c>
      <c r="K323" s="1" t="str">
        <f t="shared" ref="K323:K386" ca="1" si="118">CHOOSE(RANDBETWEEN(1,6),"Delhi","Mumbai","Bangalore","Kolkata","Ahmedabad","Chennai")</f>
        <v>Chennai</v>
      </c>
      <c r="L323" s="1" t="str">
        <f t="shared" ref="L323:L386" ca="1" si="119">CHOOSE(RANDBETWEEN(1,3),"Technology","Furniture","Office Supplies")</f>
        <v>Furniture</v>
      </c>
      <c r="M323" s="1" t="str">
        <f t="shared" ref="M323:M386" ca="1" si="120">CHOOSE(RANDBETWEEN(1,5),"Mobile","Laptop","Chair","Table","Paper")</f>
        <v>Table</v>
      </c>
      <c r="N323" s="1" t="str">
        <f t="shared" ref="N323:N386" ca="1" si="121">CHOOSE(RANDBETWEEN(1,6),"Samsung Galaxy","HP Pavilion","Office Chair","Office Table","A4 Paper","Wireless Mouse")</f>
        <v>Samsung Galaxy</v>
      </c>
      <c r="O323" s="1">
        <f t="shared" ref="O323:O386" ca="1" si="122">RANDBETWEEN(500,60000)</f>
        <v>3632</v>
      </c>
      <c r="P323" s="1">
        <f t="shared" ref="P323:P386" ca="1" si="123">RANDBETWEEN(1,10)</f>
        <v>6</v>
      </c>
      <c r="Q323" s="19">
        <f t="shared" ref="Q323:Q386" ca="1" si="124">CHOOSE(RANDBETWEEN(1,5),0,0.05,0.1,0.2,0.3)</f>
        <v>0.1</v>
      </c>
      <c r="R323" s="1">
        <f t="shared" ref="R323:R386" ca="1" si="125">O323*(0.18-Q323)</f>
        <v>290.55999999999995</v>
      </c>
      <c r="S323" s="1">
        <f t="shared" ca="1" si="109"/>
        <v>1</v>
      </c>
      <c r="T323" s="19">
        <f t="shared" ca="1" si="110"/>
        <v>7.9999999999999988E-2</v>
      </c>
      <c r="U323" s="1" t="str">
        <f t="shared" ca="1" si="111"/>
        <v>Low Discount</v>
      </c>
    </row>
    <row r="324" spans="1:21" ht="15.6" customHeight="1" x14ac:dyDescent="0.3">
      <c r="A324" s="1" t="str">
        <f t="shared" si="106"/>
        <v>ORD-323</v>
      </c>
      <c r="B324" s="10">
        <f t="shared" ca="1" si="107"/>
        <v>45530</v>
      </c>
      <c r="C324" s="7">
        <f t="shared" ca="1" si="108"/>
        <v>45534</v>
      </c>
      <c r="D324" s="1" t="str">
        <f t="shared" ca="1" si="105"/>
        <v>Standard Class</v>
      </c>
      <c r="E324" s="1" t="str">
        <f t="shared" ca="1" si="112"/>
        <v>CU-923</v>
      </c>
      <c r="F324" s="1" t="str">
        <f t="shared" ca="1" si="113"/>
        <v>Priya Singh</v>
      </c>
      <c r="G324" s="1" t="str">
        <f t="shared" ca="1" si="114"/>
        <v>Corporate</v>
      </c>
      <c r="H324" s="1" t="str">
        <f t="shared" si="115"/>
        <v>India</v>
      </c>
      <c r="I324" s="1" t="str">
        <f t="shared" ca="1" si="116"/>
        <v>West</v>
      </c>
      <c r="J324" s="1" t="str">
        <f t="shared" ca="1" si="117"/>
        <v>West Bengal</v>
      </c>
      <c r="K324" s="1" t="str">
        <f t="shared" ca="1" si="118"/>
        <v>Ahmedabad</v>
      </c>
      <c r="L324" s="1" t="str">
        <f t="shared" ca="1" si="119"/>
        <v>Technology</v>
      </c>
      <c r="M324" s="1" t="str">
        <f t="shared" ca="1" si="120"/>
        <v>Laptop</v>
      </c>
      <c r="N324" s="1" t="str">
        <f t="shared" ca="1" si="121"/>
        <v>A4 Paper</v>
      </c>
      <c r="O324" s="1">
        <f t="shared" ca="1" si="122"/>
        <v>57710</v>
      </c>
      <c r="P324" s="1">
        <f t="shared" ca="1" si="123"/>
        <v>8</v>
      </c>
      <c r="Q324" s="19">
        <f t="shared" ca="1" si="124"/>
        <v>0.2</v>
      </c>
      <c r="R324" s="1">
        <f t="shared" ca="1" si="125"/>
        <v>-1154.200000000001</v>
      </c>
      <c r="S324" s="1">
        <f t="shared" ca="1" si="109"/>
        <v>4</v>
      </c>
      <c r="T324" s="19">
        <f t="shared" ca="1" si="110"/>
        <v>-2.0000000000000018E-2</v>
      </c>
      <c r="U324" s="1" t="str">
        <f t="shared" ca="1" si="111"/>
        <v>High Discount</v>
      </c>
    </row>
    <row r="325" spans="1:21" ht="15.6" customHeight="1" x14ac:dyDescent="0.3">
      <c r="A325" s="1" t="str">
        <f t="shared" si="106"/>
        <v>ORD-324</v>
      </c>
      <c r="B325" s="10">
        <f t="shared" ca="1" si="107"/>
        <v>45622</v>
      </c>
      <c r="C325" s="7">
        <f t="shared" ca="1" si="108"/>
        <v>45622</v>
      </c>
      <c r="D325" s="1" t="str">
        <f t="shared" ca="1" si="105"/>
        <v>Standard Class</v>
      </c>
      <c r="E325" s="1" t="str">
        <f t="shared" ca="1" si="112"/>
        <v>CU-719</v>
      </c>
      <c r="F325" s="1" t="str">
        <f t="shared" ca="1" si="113"/>
        <v>Arjun Malhotra</v>
      </c>
      <c r="G325" s="1" t="str">
        <f t="shared" ca="1" si="114"/>
        <v>Home Office</v>
      </c>
      <c r="H325" s="1" t="str">
        <f t="shared" si="115"/>
        <v>India</v>
      </c>
      <c r="I325" s="1" t="str">
        <f t="shared" ca="1" si="116"/>
        <v>East</v>
      </c>
      <c r="J325" s="1" t="str">
        <f t="shared" ca="1" si="117"/>
        <v>Maharashtra</v>
      </c>
      <c r="K325" s="1" t="str">
        <f t="shared" ca="1" si="118"/>
        <v>Mumbai</v>
      </c>
      <c r="L325" s="1" t="str">
        <f t="shared" ca="1" si="119"/>
        <v>Technology</v>
      </c>
      <c r="M325" s="1" t="str">
        <f t="shared" ca="1" si="120"/>
        <v>Paper</v>
      </c>
      <c r="N325" s="1" t="str">
        <f t="shared" ca="1" si="121"/>
        <v>A4 Paper</v>
      </c>
      <c r="O325" s="1">
        <f t="shared" ca="1" si="122"/>
        <v>28321</v>
      </c>
      <c r="P325" s="1">
        <f t="shared" ca="1" si="123"/>
        <v>4</v>
      </c>
      <c r="Q325" s="19">
        <f t="shared" ca="1" si="124"/>
        <v>0.05</v>
      </c>
      <c r="R325" s="1">
        <f t="shared" ca="1" si="125"/>
        <v>3681.73</v>
      </c>
      <c r="S325" s="1">
        <f t="shared" ca="1" si="109"/>
        <v>0</v>
      </c>
      <c r="T325" s="19">
        <f t="shared" ca="1" si="110"/>
        <v>0.13</v>
      </c>
      <c r="U325" s="1" t="str">
        <f t="shared" ca="1" si="111"/>
        <v>Low Discount</v>
      </c>
    </row>
    <row r="326" spans="1:21" ht="15.6" customHeight="1" x14ac:dyDescent="0.3">
      <c r="A326" s="1" t="str">
        <f t="shared" si="106"/>
        <v>ORD-325</v>
      </c>
      <c r="B326" s="10">
        <f t="shared" ca="1" si="107"/>
        <v>45358</v>
      </c>
      <c r="C326" s="7">
        <f t="shared" ca="1" si="108"/>
        <v>45358</v>
      </c>
      <c r="D326" s="1" t="str">
        <f t="shared" ca="1" si="105"/>
        <v>Standard Class</v>
      </c>
      <c r="E326" s="1" t="str">
        <f t="shared" ca="1" si="112"/>
        <v>CU-965</v>
      </c>
      <c r="F326" s="1" t="str">
        <f t="shared" ca="1" si="113"/>
        <v>Amit Verma</v>
      </c>
      <c r="G326" s="1" t="str">
        <f t="shared" ca="1" si="114"/>
        <v>Home Office</v>
      </c>
      <c r="H326" s="1" t="str">
        <f t="shared" si="115"/>
        <v>India</v>
      </c>
      <c r="I326" s="1" t="str">
        <f t="shared" ca="1" si="116"/>
        <v>East</v>
      </c>
      <c r="J326" s="1" t="str">
        <f t="shared" ca="1" si="117"/>
        <v>Delhi</v>
      </c>
      <c r="K326" s="1" t="str">
        <f t="shared" ca="1" si="118"/>
        <v>Ahmedabad</v>
      </c>
      <c r="L326" s="1" t="str">
        <f t="shared" ca="1" si="119"/>
        <v>Technology</v>
      </c>
      <c r="M326" s="1" t="str">
        <f t="shared" ca="1" si="120"/>
        <v>Laptop</v>
      </c>
      <c r="N326" s="1" t="str">
        <f t="shared" ca="1" si="121"/>
        <v>Office Table</v>
      </c>
      <c r="O326" s="1">
        <f t="shared" ca="1" si="122"/>
        <v>29417</v>
      </c>
      <c r="P326" s="1">
        <f t="shared" ca="1" si="123"/>
        <v>6</v>
      </c>
      <c r="Q326" s="19">
        <f t="shared" ca="1" si="124"/>
        <v>0</v>
      </c>
      <c r="R326" s="1">
        <f t="shared" ca="1" si="125"/>
        <v>5295.0599999999995</v>
      </c>
      <c r="S326" s="1">
        <f t="shared" ca="1" si="109"/>
        <v>0</v>
      </c>
      <c r="T326" s="19">
        <f t="shared" ca="1" si="110"/>
        <v>0.18</v>
      </c>
      <c r="U326" s="1" t="str">
        <f t="shared" ca="1" si="111"/>
        <v>Low Discount</v>
      </c>
    </row>
    <row r="327" spans="1:21" ht="15.6" customHeight="1" x14ac:dyDescent="0.3">
      <c r="A327" s="1" t="str">
        <f t="shared" si="106"/>
        <v>ORD-326</v>
      </c>
      <c r="B327" s="10">
        <f t="shared" ca="1" si="107"/>
        <v>45423</v>
      </c>
      <c r="C327" s="7">
        <f t="shared" ca="1" si="108"/>
        <v>45428</v>
      </c>
      <c r="D327" s="1" t="str">
        <f t="shared" ca="1" si="105"/>
        <v>Same Day</v>
      </c>
      <c r="E327" s="1" t="str">
        <f t="shared" ca="1" si="112"/>
        <v>CU-957</v>
      </c>
      <c r="F327" s="1" t="str">
        <f t="shared" ca="1" si="113"/>
        <v>Sunil Kumar</v>
      </c>
      <c r="G327" s="1" t="str">
        <f t="shared" ca="1" si="114"/>
        <v>Consumer</v>
      </c>
      <c r="H327" s="1" t="str">
        <f t="shared" si="115"/>
        <v>India</v>
      </c>
      <c r="I327" s="1" t="str">
        <f t="shared" ca="1" si="116"/>
        <v>East</v>
      </c>
      <c r="J327" s="1" t="str">
        <f t="shared" ca="1" si="117"/>
        <v>West Bengal</v>
      </c>
      <c r="K327" s="1" t="str">
        <f t="shared" ca="1" si="118"/>
        <v>Mumbai</v>
      </c>
      <c r="L327" s="1" t="str">
        <f t="shared" ca="1" si="119"/>
        <v>Office Supplies</v>
      </c>
      <c r="M327" s="1" t="str">
        <f t="shared" ca="1" si="120"/>
        <v>Table</v>
      </c>
      <c r="N327" s="1" t="str">
        <f t="shared" ca="1" si="121"/>
        <v>Office Chair</v>
      </c>
      <c r="O327" s="1">
        <f t="shared" ca="1" si="122"/>
        <v>7897</v>
      </c>
      <c r="P327" s="1">
        <f t="shared" ca="1" si="123"/>
        <v>4</v>
      </c>
      <c r="Q327" s="19">
        <f t="shared" ca="1" si="124"/>
        <v>0</v>
      </c>
      <c r="R327" s="1">
        <f t="shared" ca="1" si="125"/>
        <v>1421.46</v>
      </c>
      <c r="S327" s="1">
        <f t="shared" ca="1" si="109"/>
        <v>5</v>
      </c>
      <c r="T327" s="19">
        <f t="shared" ca="1" si="110"/>
        <v>0.18</v>
      </c>
      <c r="U327" s="1" t="str">
        <f t="shared" ca="1" si="111"/>
        <v>Low Discount</v>
      </c>
    </row>
    <row r="328" spans="1:21" ht="15.6" customHeight="1" x14ac:dyDescent="0.3">
      <c r="A328" s="1" t="str">
        <f t="shared" si="106"/>
        <v>ORD-327</v>
      </c>
      <c r="B328" s="10">
        <f t="shared" ca="1" si="107"/>
        <v>45540</v>
      </c>
      <c r="C328" s="7">
        <f t="shared" ca="1" si="108"/>
        <v>45541</v>
      </c>
      <c r="D328" s="1" t="str">
        <f t="shared" ca="1" si="105"/>
        <v>Same Day</v>
      </c>
      <c r="E328" s="1" t="str">
        <f t="shared" ca="1" si="112"/>
        <v>CU-197</v>
      </c>
      <c r="F328" s="1" t="str">
        <f t="shared" ca="1" si="113"/>
        <v>Rahul Sharma</v>
      </c>
      <c r="G328" s="1" t="str">
        <f t="shared" ca="1" si="114"/>
        <v>Consumer</v>
      </c>
      <c r="H328" s="1" t="str">
        <f t="shared" si="115"/>
        <v>India</v>
      </c>
      <c r="I328" s="1" t="str">
        <f t="shared" ca="1" si="116"/>
        <v>South</v>
      </c>
      <c r="J328" s="1" t="str">
        <f t="shared" ca="1" si="117"/>
        <v>Gujarat</v>
      </c>
      <c r="K328" s="1" t="str">
        <f t="shared" ca="1" si="118"/>
        <v>Kolkata</v>
      </c>
      <c r="L328" s="1" t="str">
        <f t="shared" ca="1" si="119"/>
        <v>Furniture</v>
      </c>
      <c r="M328" s="1" t="str">
        <f t="shared" ca="1" si="120"/>
        <v>Table</v>
      </c>
      <c r="N328" s="1" t="str">
        <f t="shared" ca="1" si="121"/>
        <v>Samsung Galaxy</v>
      </c>
      <c r="O328" s="1">
        <f t="shared" ca="1" si="122"/>
        <v>19781</v>
      </c>
      <c r="P328" s="1">
        <f t="shared" ca="1" si="123"/>
        <v>6</v>
      </c>
      <c r="Q328" s="19">
        <f t="shared" ca="1" si="124"/>
        <v>0.3</v>
      </c>
      <c r="R328" s="1">
        <f t="shared" ca="1" si="125"/>
        <v>-2373.7199999999998</v>
      </c>
      <c r="S328" s="1">
        <f t="shared" ca="1" si="109"/>
        <v>1</v>
      </c>
      <c r="T328" s="19">
        <f t="shared" ca="1" si="110"/>
        <v>-0.12</v>
      </c>
      <c r="U328" s="1" t="str">
        <f t="shared" ca="1" si="111"/>
        <v>High Discount</v>
      </c>
    </row>
    <row r="329" spans="1:21" ht="15.6" customHeight="1" x14ac:dyDescent="0.3">
      <c r="A329" s="1" t="str">
        <f t="shared" si="106"/>
        <v>ORD-328</v>
      </c>
      <c r="B329" s="10">
        <f t="shared" ca="1" si="107"/>
        <v>45513</v>
      </c>
      <c r="C329" s="7">
        <f t="shared" ca="1" si="108"/>
        <v>45518</v>
      </c>
      <c r="D329" s="1" t="str">
        <f t="shared" ref="D329:D392" ca="1" si="126">CHOOSE(RANDBETWEEN(1,3),"Standard Class","Second Class","Same Day")</f>
        <v>Same Day</v>
      </c>
      <c r="E329" s="1" t="str">
        <f t="shared" ca="1" si="112"/>
        <v>CU-495</v>
      </c>
      <c r="F329" s="1" t="str">
        <f t="shared" ca="1" si="113"/>
        <v>Priya Singh</v>
      </c>
      <c r="G329" s="1" t="str">
        <f t="shared" ca="1" si="114"/>
        <v>Corporate</v>
      </c>
      <c r="H329" s="1" t="str">
        <f t="shared" si="115"/>
        <v>India</v>
      </c>
      <c r="I329" s="1" t="str">
        <f t="shared" ca="1" si="116"/>
        <v>South</v>
      </c>
      <c r="J329" s="1" t="str">
        <f t="shared" ca="1" si="117"/>
        <v>Delhi</v>
      </c>
      <c r="K329" s="1" t="str">
        <f t="shared" ca="1" si="118"/>
        <v>Kolkata</v>
      </c>
      <c r="L329" s="1" t="str">
        <f t="shared" ca="1" si="119"/>
        <v>Technology</v>
      </c>
      <c r="M329" s="1" t="str">
        <f t="shared" ca="1" si="120"/>
        <v>Laptop</v>
      </c>
      <c r="N329" s="1" t="str">
        <f t="shared" ca="1" si="121"/>
        <v>HP Pavilion</v>
      </c>
      <c r="O329" s="1">
        <f t="shared" ca="1" si="122"/>
        <v>48004</v>
      </c>
      <c r="P329" s="1">
        <f t="shared" ca="1" si="123"/>
        <v>4</v>
      </c>
      <c r="Q329" s="19">
        <f t="shared" ca="1" si="124"/>
        <v>0.05</v>
      </c>
      <c r="R329" s="1">
        <f t="shared" ca="1" si="125"/>
        <v>6240.52</v>
      </c>
      <c r="S329" s="1">
        <f t="shared" ca="1" si="109"/>
        <v>5</v>
      </c>
      <c r="T329" s="19">
        <f t="shared" ca="1" si="110"/>
        <v>0.13</v>
      </c>
      <c r="U329" s="1" t="str">
        <f t="shared" ca="1" si="111"/>
        <v>Low Discount</v>
      </c>
    </row>
    <row r="330" spans="1:21" ht="15.6" customHeight="1" x14ac:dyDescent="0.3">
      <c r="A330" s="1" t="str">
        <f t="shared" si="106"/>
        <v>ORD-329</v>
      </c>
      <c r="B330" s="10">
        <f t="shared" ca="1" si="107"/>
        <v>45579</v>
      </c>
      <c r="C330" s="7">
        <f t="shared" ca="1" si="108"/>
        <v>45583</v>
      </c>
      <c r="D330" s="1" t="str">
        <f t="shared" ca="1" si="126"/>
        <v>Same Day</v>
      </c>
      <c r="E330" s="1" t="str">
        <f t="shared" ca="1" si="112"/>
        <v>CU-193</v>
      </c>
      <c r="F330" s="1" t="str">
        <f t="shared" ca="1" si="113"/>
        <v>Pooja Yadav</v>
      </c>
      <c r="G330" s="1" t="str">
        <f t="shared" ca="1" si="114"/>
        <v>Consumer</v>
      </c>
      <c r="H330" s="1" t="str">
        <f t="shared" si="115"/>
        <v>India</v>
      </c>
      <c r="I330" s="1" t="str">
        <f t="shared" ca="1" si="116"/>
        <v>North</v>
      </c>
      <c r="J330" s="1" t="str">
        <f t="shared" ca="1" si="117"/>
        <v>West Bengal</v>
      </c>
      <c r="K330" s="1" t="str">
        <f t="shared" ca="1" si="118"/>
        <v>Delhi</v>
      </c>
      <c r="L330" s="1" t="str">
        <f t="shared" ca="1" si="119"/>
        <v>Furniture</v>
      </c>
      <c r="M330" s="1" t="str">
        <f t="shared" ca="1" si="120"/>
        <v>Chair</v>
      </c>
      <c r="N330" s="1" t="str">
        <f t="shared" ca="1" si="121"/>
        <v>Wireless Mouse</v>
      </c>
      <c r="O330" s="1">
        <f t="shared" ca="1" si="122"/>
        <v>1426</v>
      </c>
      <c r="P330" s="1">
        <f t="shared" ca="1" si="123"/>
        <v>4</v>
      </c>
      <c r="Q330" s="19">
        <f t="shared" ca="1" si="124"/>
        <v>0</v>
      </c>
      <c r="R330" s="1">
        <f t="shared" ca="1" si="125"/>
        <v>256.68</v>
      </c>
      <c r="S330" s="1">
        <f t="shared" ca="1" si="109"/>
        <v>4</v>
      </c>
      <c r="T330" s="19">
        <f t="shared" ca="1" si="110"/>
        <v>0.18</v>
      </c>
      <c r="U330" s="1" t="str">
        <f t="shared" ca="1" si="111"/>
        <v>Low Discount</v>
      </c>
    </row>
    <row r="331" spans="1:21" ht="15.6" customHeight="1" x14ac:dyDescent="0.3">
      <c r="A331" s="1" t="str">
        <f t="shared" si="106"/>
        <v>ORD-330</v>
      </c>
      <c r="B331" s="10">
        <f t="shared" ca="1" si="107"/>
        <v>45572</v>
      </c>
      <c r="C331" s="7">
        <f t="shared" ca="1" si="108"/>
        <v>45575</v>
      </c>
      <c r="D331" s="1" t="str">
        <f t="shared" ca="1" si="126"/>
        <v>Standard Class</v>
      </c>
      <c r="E331" s="1" t="str">
        <f t="shared" ca="1" si="112"/>
        <v>CU-350</v>
      </c>
      <c r="F331" s="1" t="str">
        <f t="shared" ca="1" si="113"/>
        <v>Pooja Yadav</v>
      </c>
      <c r="G331" s="1" t="str">
        <f t="shared" ca="1" si="114"/>
        <v>Home Office</v>
      </c>
      <c r="H331" s="1" t="str">
        <f t="shared" si="115"/>
        <v>India</v>
      </c>
      <c r="I331" s="1" t="str">
        <f t="shared" ca="1" si="116"/>
        <v>South</v>
      </c>
      <c r="J331" s="1" t="str">
        <f t="shared" ca="1" si="117"/>
        <v>Maharashtra</v>
      </c>
      <c r="K331" s="1" t="str">
        <f t="shared" ca="1" si="118"/>
        <v>Delhi</v>
      </c>
      <c r="L331" s="1" t="str">
        <f t="shared" ca="1" si="119"/>
        <v>Technology</v>
      </c>
      <c r="M331" s="1" t="str">
        <f t="shared" ca="1" si="120"/>
        <v>Paper</v>
      </c>
      <c r="N331" s="1" t="str">
        <f t="shared" ca="1" si="121"/>
        <v>A4 Paper</v>
      </c>
      <c r="O331" s="1">
        <f t="shared" ca="1" si="122"/>
        <v>25472</v>
      </c>
      <c r="P331" s="1">
        <f t="shared" ca="1" si="123"/>
        <v>10</v>
      </c>
      <c r="Q331" s="19">
        <f t="shared" ca="1" si="124"/>
        <v>0.3</v>
      </c>
      <c r="R331" s="1">
        <f t="shared" ca="1" si="125"/>
        <v>-3056.64</v>
      </c>
      <c r="S331" s="1">
        <f t="shared" ca="1" si="109"/>
        <v>3</v>
      </c>
      <c r="T331" s="19">
        <f t="shared" ca="1" si="110"/>
        <v>-0.12</v>
      </c>
      <c r="U331" s="1" t="str">
        <f t="shared" ca="1" si="111"/>
        <v>High Discount</v>
      </c>
    </row>
    <row r="332" spans="1:21" ht="15.6" customHeight="1" x14ac:dyDescent="0.3">
      <c r="A332" s="1" t="str">
        <f t="shared" si="106"/>
        <v>ORD-331</v>
      </c>
      <c r="B332" s="10">
        <f t="shared" ca="1" si="107"/>
        <v>45435</v>
      </c>
      <c r="C332" s="7">
        <f t="shared" ca="1" si="108"/>
        <v>45438</v>
      </c>
      <c r="D332" s="1" t="str">
        <f t="shared" ca="1" si="126"/>
        <v>Same Day</v>
      </c>
      <c r="E332" s="1" t="str">
        <f t="shared" ca="1" si="112"/>
        <v>CU-296</v>
      </c>
      <c r="F332" s="1" t="str">
        <f t="shared" ca="1" si="113"/>
        <v>Neha Gupta</v>
      </c>
      <c r="G332" s="1" t="str">
        <f t="shared" ca="1" si="114"/>
        <v>Corporate</v>
      </c>
      <c r="H332" s="1" t="str">
        <f t="shared" si="115"/>
        <v>India</v>
      </c>
      <c r="I332" s="1" t="str">
        <f t="shared" ca="1" si="116"/>
        <v>South</v>
      </c>
      <c r="J332" s="1" t="str">
        <f t="shared" ca="1" si="117"/>
        <v>Tamil Nadu</v>
      </c>
      <c r="K332" s="1" t="str">
        <f t="shared" ca="1" si="118"/>
        <v>Kolkata</v>
      </c>
      <c r="L332" s="1" t="str">
        <f t="shared" ca="1" si="119"/>
        <v>Furniture</v>
      </c>
      <c r="M332" s="1" t="str">
        <f t="shared" ca="1" si="120"/>
        <v>Mobile</v>
      </c>
      <c r="N332" s="1" t="str">
        <f t="shared" ca="1" si="121"/>
        <v>Office Table</v>
      </c>
      <c r="O332" s="1">
        <f t="shared" ca="1" si="122"/>
        <v>3514</v>
      </c>
      <c r="P332" s="1">
        <f t="shared" ca="1" si="123"/>
        <v>6</v>
      </c>
      <c r="Q332" s="19">
        <f t="shared" ca="1" si="124"/>
        <v>0.05</v>
      </c>
      <c r="R332" s="1">
        <f t="shared" ca="1" si="125"/>
        <v>456.82</v>
      </c>
      <c r="S332" s="1">
        <f t="shared" ca="1" si="109"/>
        <v>3</v>
      </c>
      <c r="T332" s="19">
        <f t="shared" ca="1" si="110"/>
        <v>0.13</v>
      </c>
      <c r="U332" s="1" t="str">
        <f t="shared" ca="1" si="111"/>
        <v>Low Discount</v>
      </c>
    </row>
    <row r="333" spans="1:21" ht="15.6" customHeight="1" x14ac:dyDescent="0.3">
      <c r="A333" s="1" t="str">
        <f t="shared" si="106"/>
        <v>ORD-332</v>
      </c>
      <c r="B333" s="10">
        <f t="shared" ca="1" si="107"/>
        <v>45429</v>
      </c>
      <c r="C333" s="7">
        <f t="shared" ca="1" si="108"/>
        <v>45431</v>
      </c>
      <c r="D333" s="1" t="str">
        <f t="shared" ca="1" si="126"/>
        <v>Same Day</v>
      </c>
      <c r="E333" s="1" t="str">
        <f t="shared" ca="1" si="112"/>
        <v>CU-628</v>
      </c>
      <c r="F333" s="1" t="str">
        <f t="shared" ca="1" si="113"/>
        <v>Rahul Sharma</v>
      </c>
      <c r="G333" s="1" t="str">
        <f t="shared" ca="1" si="114"/>
        <v>Consumer</v>
      </c>
      <c r="H333" s="1" t="str">
        <f t="shared" si="115"/>
        <v>India</v>
      </c>
      <c r="I333" s="1" t="str">
        <f t="shared" ca="1" si="116"/>
        <v>North</v>
      </c>
      <c r="J333" s="1" t="str">
        <f t="shared" ca="1" si="117"/>
        <v>West Bengal</v>
      </c>
      <c r="K333" s="1" t="str">
        <f t="shared" ca="1" si="118"/>
        <v>Chennai</v>
      </c>
      <c r="L333" s="1" t="str">
        <f t="shared" ca="1" si="119"/>
        <v>Technology</v>
      </c>
      <c r="M333" s="1" t="str">
        <f t="shared" ca="1" si="120"/>
        <v>Paper</v>
      </c>
      <c r="N333" s="1" t="str">
        <f t="shared" ca="1" si="121"/>
        <v>Samsung Galaxy</v>
      </c>
      <c r="O333" s="1">
        <f t="shared" ca="1" si="122"/>
        <v>14794</v>
      </c>
      <c r="P333" s="1">
        <f t="shared" ca="1" si="123"/>
        <v>1</v>
      </c>
      <c r="Q333" s="19">
        <f t="shared" ca="1" si="124"/>
        <v>0.3</v>
      </c>
      <c r="R333" s="1">
        <f t="shared" ca="1" si="125"/>
        <v>-1775.28</v>
      </c>
      <c r="S333" s="1">
        <f t="shared" ca="1" si="109"/>
        <v>2</v>
      </c>
      <c r="T333" s="19">
        <f t="shared" ca="1" si="110"/>
        <v>-0.12</v>
      </c>
      <c r="U333" s="1" t="str">
        <f t="shared" ca="1" si="111"/>
        <v>High Discount</v>
      </c>
    </row>
    <row r="334" spans="1:21" ht="15.6" customHeight="1" x14ac:dyDescent="0.3">
      <c r="A334" s="1" t="str">
        <f t="shared" si="106"/>
        <v>ORD-333</v>
      </c>
      <c r="B334" s="10">
        <f t="shared" ca="1" si="107"/>
        <v>45383</v>
      </c>
      <c r="C334" s="7">
        <f t="shared" ca="1" si="108"/>
        <v>45383</v>
      </c>
      <c r="D334" s="1" t="str">
        <f t="shared" ca="1" si="126"/>
        <v>Standard Class</v>
      </c>
      <c r="E334" s="1" t="str">
        <f t="shared" ca="1" si="112"/>
        <v>CU-400</v>
      </c>
      <c r="F334" s="1" t="str">
        <f t="shared" ca="1" si="113"/>
        <v>Rahul Sharma</v>
      </c>
      <c r="G334" s="1" t="str">
        <f t="shared" ca="1" si="114"/>
        <v>Consumer</v>
      </c>
      <c r="H334" s="1" t="str">
        <f t="shared" si="115"/>
        <v>India</v>
      </c>
      <c r="I334" s="1" t="str">
        <f t="shared" ca="1" si="116"/>
        <v>East</v>
      </c>
      <c r="J334" s="1" t="str">
        <f t="shared" ca="1" si="117"/>
        <v>Gujarat</v>
      </c>
      <c r="K334" s="1" t="str">
        <f t="shared" ca="1" si="118"/>
        <v>Mumbai</v>
      </c>
      <c r="L334" s="1" t="str">
        <f t="shared" ca="1" si="119"/>
        <v>Office Supplies</v>
      </c>
      <c r="M334" s="1" t="str">
        <f t="shared" ca="1" si="120"/>
        <v>Chair</v>
      </c>
      <c r="N334" s="1" t="str">
        <f t="shared" ca="1" si="121"/>
        <v>HP Pavilion</v>
      </c>
      <c r="O334" s="1">
        <f t="shared" ca="1" si="122"/>
        <v>5206</v>
      </c>
      <c r="P334" s="1">
        <f t="shared" ca="1" si="123"/>
        <v>3</v>
      </c>
      <c r="Q334" s="19">
        <f t="shared" ca="1" si="124"/>
        <v>0</v>
      </c>
      <c r="R334" s="1">
        <f t="shared" ca="1" si="125"/>
        <v>937.07999999999993</v>
      </c>
      <c r="S334" s="1">
        <f t="shared" ca="1" si="109"/>
        <v>0</v>
      </c>
      <c r="T334" s="19">
        <f t="shared" ca="1" si="110"/>
        <v>0.18</v>
      </c>
      <c r="U334" s="1" t="str">
        <f t="shared" ca="1" si="111"/>
        <v>Low Discount</v>
      </c>
    </row>
    <row r="335" spans="1:21" ht="15.6" customHeight="1" x14ac:dyDescent="0.3">
      <c r="A335" s="1" t="str">
        <f t="shared" si="106"/>
        <v>ORD-334</v>
      </c>
      <c r="B335" s="10">
        <f t="shared" ca="1" si="107"/>
        <v>45627</v>
      </c>
      <c r="C335" s="7">
        <f t="shared" ca="1" si="108"/>
        <v>45630</v>
      </c>
      <c r="D335" s="1" t="str">
        <f t="shared" ca="1" si="126"/>
        <v>Same Day</v>
      </c>
      <c r="E335" s="1" t="str">
        <f t="shared" ca="1" si="112"/>
        <v>CU-853</v>
      </c>
      <c r="F335" s="1" t="str">
        <f t="shared" ca="1" si="113"/>
        <v>Ravi Mehta</v>
      </c>
      <c r="G335" s="1" t="str">
        <f t="shared" ca="1" si="114"/>
        <v>Consumer</v>
      </c>
      <c r="H335" s="1" t="str">
        <f t="shared" si="115"/>
        <v>India</v>
      </c>
      <c r="I335" s="1" t="str">
        <f t="shared" ca="1" si="116"/>
        <v>North</v>
      </c>
      <c r="J335" s="1" t="str">
        <f t="shared" ca="1" si="117"/>
        <v>Delhi</v>
      </c>
      <c r="K335" s="1" t="str">
        <f t="shared" ca="1" si="118"/>
        <v>Chennai</v>
      </c>
      <c r="L335" s="1" t="str">
        <f t="shared" ca="1" si="119"/>
        <v>Office Supplies</v>
      </c>
      <c r="M335" s="1" t="str">
        <f t="shared" ca="1" si="120"/>
        <v>Chair</v>
      </c>
      <c r="N335" s="1" t="str">
        <f t="shared" ca="1" si="121"/>
        <v>Office Table</v>
      </c>
      <c r="O335" s="1">
        <f t="shared" ca="1" si="122"/>
        <v>3103</v>
      </c>
      <c r="P335" s="1">
        <f t="shared" ca="1" si="123"/>
        <v>3</v>
      </c>
      <c r="Q335" s="19">
        <f t="shared" ca="1" si="124"/>
        <v>0.1</v>
      </c>
      <c r="R335" s="1">
        <f t="shared" ca="1" si="125"/>
        <v>248.23999999999995</v>
      </c>
      <c r="S335" s="1">
        <f t="shared" ca="1" si="109"/>
        <v>3</v>
      </c>
      <c r="T335" s="19">
        <f t="shared" ca="1" si="110"/>
        <v>7.9999999999999988E-2</v>
      </c>
      <c r="U335" s="1" t="str">
        <f t="shared" ca="1" si="111"/>
        <v>Low Discount</v>
      </c>
    </row>
    <row r="336" spans="1:21" ht="15.6" customHeight="1" x14ac:dyDescent="0.3">
      <c r="A336" s="1" t="str">
        <f t="shared" si="106"/>
        <v>ORD-335</v>
      </c>
      <c r="B336" s="10">
        <f t="shared" ca="1" si="107"/>
        <v>45321</v>
      </c>
      <c r="C336" s="7">
        <f t="shared" ca="1" si="108"/>
        <v>45324</v>
      </c>
      <c r="D336" s="1" t="str">
        <f t="shared" ca="1" si="126"/>
        <v>Same Day</v>
      </c>
      <c r="E336" s="1" t="str">
        <f t="shared" ca="1" si="112"/>
        <v>CU-166</v>
      </c>
      <c r="F336" s="1" t="str">
        <f t="shared" ca="1" si="113"/>
        <v>Pooja Yadav</v>
      </c>
      <c r="G336" s="1" t="str">
        <f t="shared" ca="1" si="114"/>
        <v>Corporate</v>
      </c>
      <c r="H336" s="1" t="str">
        <f t="shared" si="115"/>
        <v>India</v>
      </c>
      <c r="I336" s="1" t="str">
        <f t="shared" ca="1" si="116"/>
        <v>East</v>
      </c>
      <c r="J336" s="1" t="str">
        <f t="shared" ca="1" si="117"/>
        <v>Maharashtra</v>
      </c>
      <c r="K336" s="1" t="str">
        <f t="shared" ca="1" si="118"/>
        <v>Ahmedabad</v>
      </c>
      <c r="L336" s="1" t="str">
        <f t="shared" ca="1" si="119"/>
        <v>Technology</v>
      </c>
      <c r="M336" s="1" t="str">
        <f t="shared" ca="1" si="120"/>
        <v>Table</v>
      </c>
      <c r="N336" s="1" t="str">
        <f t="shared" ca="1" si="121"/>
        <v>Office Table</v>
      </c>
      <c r="O336" s="1">
        <f t="shared" ca="1" si="122"/>
        <v>31478</v>
      </c>
      <c r="P336" s="1">
        <f t="shared" ca="1" si="123"/>
        <v>7</v>
      </c>
      <c r="Q336" s="19">
        <f t="shared" ca="1" si="124"/>
        <v>0.1</v>
      </c>
      <c r="R336" s="1">
        <f t="shared" ca="1" si="125"/>
        <v>2518.2399999999998</v>
      </c>
      <c r="S336" s="1">
        <f t="shared" ca="1" si="109"/>
        <v>3</v>
      </c>
      <c r="T336" s="19">
        <f t="shared" ca="1" si="110"/>
        <v>7.9999999999999988E-2</v>
      </c>
      <c r="U336" s="1" t="str">
        <f t="shared" ca="1" si="111"/>
        <v>Low Discount</v>
      </c>
    </row>
    <row r="337" spans="1:21" ht="15.6" customHeight="1" x14ac:dyDescent="0.3">
      <c r="A337" s="1" t="str">
        <f t="shared" si="106"/>
        <v>ORD-336</v>
      </c>
      <c r="B337" s="10">
        <f t="shared" ca="1" si="107"/>
        <v>45534</v>
      </c>
      <c r="C337" s="7">
        <f t="shared" ca="1" si="108"/>
        <v>45538</v>
      </c>
      <c r="D337" s="1" t="str">
        <f t="shared" ca="1" si="126"/>
        <v>Second Class</v>
      </c>
      <c r="E337" s="1" t="str">
        <f t="shared" ca="1" si="112"/>
        <v>CU-553</v>
      </c>
      <c r="F337" s="1" t="str">
        <f t="shared" ca="1" si="113"/>
        <v>Ravi Mehta</v>
      </c>
      <c r="G337" s="1" t="str">
        <f t="shared" ca="1" si="114"/>
        <v>Home Office</v>
      </c>
      <c r="H337" s="1" t="str">
        <f t="shared" si="115"/>
        <v>India</v>
      </c>
      <c r="I337" s="1" t="str">
        <f t="shared" ca="1" si="116"/>
        <v>East</v>
      </c>
      <c r="J337" s="1" t="str">
        <f t="shared" ca="1" si="117"/>
        <v>Maharashtra</v>
      </c>
      <c r="K337" s="1" t="str">
        <f t="shared" ca="1" si="118"/>
        <v>Chennai</v>
      </c>
      <c r="L337" s="1" t="str">
        <f t="shared" ca="1" si="119"/>
        <v>Furniture</v>
      </c>
      <c r="M337" s="1" t="str">
        <f t="shared" ca="1" si="120"/>
        <v>Chair</v>
      </c>
      <c r="N337" s="1" t="str">
        <f t="shared" ca="1" si="121"/>
        <v>Office Table</v>
      </c>
      <c r="O337" s="1">
        <f t="shared" ca="1" si="122"/>
        <v>46842</v>
      </c>
      <c r="P337" s="1">
        <f t="shared" ca="1" si="123"/>
        <v>1</v>
      </c>
      <c r="Q337" s="19">
        <f t="shared" ca="1" si="124"/>
        <v>0.05</v>
      </c>
      <c r="R337" s="1">
        <f t="shared" ca="1" si="125"/>
        <v>6089.46</v>
      </c>
      <c r="S337" s="1">
        <f t="shared" ca="1" si="109"/>
        <v>4</v>
      </c>
      <c r="T337" s="19">
        <f t="shared" ca="1" si="110"/>
        <v>0.13</v>
      </c>
      <c r="U337" s="1" t="str">
        <f t="shared" ca="1" si="111"/>
        <v>Low Discount</v>
      </c>
    </row>
    <row r="338" spans="1:21" ht="15.6" customHeight="1" x14ac:dyDescent="0.3">
      <c r="A338" s="1" t="str">
        <f t="shared" si="106"/>
        <v>ORD-337</v>
      </c>
      <c r="B338" s="10">
        <f t="shared" ca="1" si="107"/>
        <v>45367</v>
      </c>
      <c r="C338" s="7">
        <f t="shared" ca="1" si="108"/>
        <v>45369</v>
      </c>
      <c r="D338" s="1" t="str">
        <f t="shared" ca="1" si="126"/>
        <v>Standard Class</v>
      </c>
      <c r="E338" s="1" t="str">
        <f t="shared" ca="1" si="112"/>
        <v>CU-605</v>
      </c>
      <c r="F338" s="1" t="str">
        <f t="shared" ca="1" si="113"/>
        <v>Pooja Yadav</v>
      </c>
      <c r="G338" s="1" t="str">
        <f t="shared" ca="1" si="114"/>
        <v>Home Office</v>
      </c>
      <c r="H338" s="1" t="str">
        <f t="shared" si="115"/>
        <v>India</v>
      </c>
      <c r="I338" s="1" t="str">
        <f t="shared" ca="1" si="116"/>
        <v>South</v>
      </c>
      <c r="J338" s="1" t="str">
        <f t="shared" ca="1" si="117"/>
        <v>West Bengal</v>
      </c>
      <c r="K338" s="1" t="str">
        <f t="shared" ca="1" si="118"/>
        <v>Mumbai</v>
      </c>
      <c r="L338" s="1" t="str">
        <f t="shared" ca="1" si="119"/>
        <v>Furniture</v>
      </c>
      <c r="M338" s="1" t="str">
        <f t="shared" ca="1" si="120"/>
        <v>Paper</v>
      </c>
      <c r="N338" s="1" t="str">
        <f t="shared" ca="1" si="121"/>
        <v>Office Chair</v>
      </c>
      <c r="O338" s="1">
        <f t="shared" ca="1" si="122"/>
        <v>56879</v>
      </c>
      <c r="P338" s="1">
        <f t="shared" ca="1" si="123"/>
        <v>1</v>
      </c>
      <c r="Q338" s="19">
        <f t="shared" ca="1" si="124"/>
        <v>0.2</v>
      </c>
      <c r="R338" s="1">
        <f t="shared" ca="1" si="125"/>
        <v>-1137.5800000000011</v>
      </c>
      <c r="S338" s="1">
        <f t="shared" ca="1" si="109"/>
        <v>2</v>
      </c>
      <c r="T338" s="19">
        <f t="shared" ca="1" si="110"/>
        <v>-2.0000000000000018E-2</v>
      </c>
      <c r="U338" s="1" t="str">
        <f t="shared" ca="1" si="111"/>
        <v>High Discount</v>
      </c>
    </row>
    <row r="339" spans="1:21" ht="15.6" customHeight="1" x14ac:dyDescent="0.3">
      <c r="A339" s="1" t="str">
        <f t="shared" si="106"/>
        <v>ORD-338</v>
      </c>
      <c r="B339" s="10">
        <f t="shared" ca="1" si="107"/>
        <v>45589</v>
      </c>
      <c r="C339" s="7">
        <f t="shared" ca="1" si="108"/>
        <v>45592</v>
      </c>
      <c r="D339" s="1" t="str">
        <f t="shared" ca="1" si="126"/>
        <v>Second Class</v>
      </c>
      <c r="E339" s="1" t="str">
        <f t="shared" ca="1" si="112"/>
        <v>CU-865</v>
      </c>
      <c r="F339" s="1" t="str">
        <f t="shared" ca="1" si="113"/>
        <v>Neha Gupta</v>
      </c>
      <c r="G339" s="1" t="str">
        <f t="shared" ca="1" si="114"/>
        <v>Consumer</v>
      </c>
      <c r="H339" s="1" t="str">
        <f t="shared" si="115"/>
        <v>India</v>
      </c>
      <c r="I339" s="1" t="str">
        <f t="shared" ca="1" si="116"/>
        <v>South</v>
      </c>
      <c r="J339" s="1" t="str">
        <f t="shared" ca="1" si="117"/>
        <v>Tamil Nadu</v>
      </c>
      <c r="K339" s="1" t="str">
        <f t="shared" ca="1" si="118"/>
        <v>Delhi</v>
      </c>
      <c r="L339" s="1" t="str">
        <f t="shared" ca="1" si="119"/>
        <v>Technology</v>
      </c>
      <c r="M339" s="1" t="str">
        <f t="shared" ca="1" si="120"/>
        <v>Chair</v>
      </c>
      <c r="N339" s="1" t="str">
        <f t="shared" ca="1" si="121"/>
        <v>Office Table</v>
      </c>
      <c r="O339" s="1">
        <f t="shared" ca="1" si="122"/>
        <v>39020</v>
      </c>
      <c r="P339" s="1">
        <f t="shared" ca="1" si="123"/>
        <v>1</v>
      </c>
      <c r="Q339" s="19">
        <f t="shared" ca="1" si="124"/>
        <v>0</v>
      </c>
      <c r="R339" s="1">
        <f t="shared" ca="1" si="125"/>
        <v>7023.5999999999995</v>
      </c>
      <c r="S339" s="1">
        <f t="shared" ca="1" si="109"/>
        <v>3</v>
      </c>
      <c r="T339" s="19">
        <f t="shared" ca="1" si="110"/>
        <v>0.18</v>
      </c>
      <c r="U339" s="1" t="str">
        <f t="shared" ca="1" si="111"/>
        <v>Low Discount</v>
      </c>
    </row>
    <row r="340" spans="1:21" ht="15.6" customHeight="1" x14ac:dyDescent="0.3">
      <c r="A340" s="1" t="str">
        <f t="shared" si="106"/>
        <v>ORD-339</v>
      </c>
      <c r="B340" s="10">
        <f t="shared" ca="1" si="107"/>
        <v>45361</v>
      </c>
      <c r="C340" s="7">
        <f t="shared" ca="1" si="108"/>
        <v>45361</v>
      </c>
      <c r="D340" s="1" t="str">
        <f t="shared" ca="1" si="126"/>
        <v>Standard Class</v>
      </c>
      <c r="E340" s="1" t="str">
        <f t="shared" ca="1" si="112"/>
        <v>CU-683</v>
      </c>
      <c r="F340" s="1" t="str">
        <f t="shared" ca="1" si="113"/>
        <v>Ravi Mehta</v>
      </c>
      <c r="G340" s="1" t="str">
        <f t="shared" ca="1" si="114"/>
        <v>Corporate</v>
      </c>
      <c r="H340" s="1" t="str">
        <f t="shared" si="115"/>
        <v>India</v>
      </c>
      <c r="I340" s="1" t="str">
        <f t="shared" ca="1" si="116"/>
        <v>South</v>
      </c>
      <c r="J340" s="1" t="str">
        <f t="shared" ca="1" si="117"/>
        <v>Tamil Nadu</v>
      </c>
      <c r="K340" s="1" t="str">
        <f t="shared" ca="1" si="118"/>
        <v>Bangalore</v>
      </c>
      <c r="L340" s="1" t="str">
        <f t="shared" ca="1" si="119"/>
        <v>Technology</v>
      </c>
      <c r="M340" s="1" t="str">
        <f t="shared" ca="1" si="120"/>
        <v>Mobile</v>
      </c>
      <c r="N340" s="1" t="str">
        <f t="shared" ca="1" si="121"/>
        <v>Office Table</v>
      </c>
      <c r="O340" s="1">
        <f t="shared" ca="1" si="122"/>
        <v>52260</v>
      </c>
      <c r="P340" s="1">
        <f t="shared" ca="1" si="123"/>
        <v>5</v>
      </c>
      <c r="Q340" s="19">
        <f t="shared" ca="1" si="124"/>
        <v>0.05</v>
      </c>
      <c r="R340" s="1">
        <f t="shared" ca="1" si="125"/>
        <v>6793.8</v>
      </c>
      <c r="S340" s="1">
        <f t="shared" ca="1" si="109"/>
        <v>0</v>
      </c>
      <c r="T340" s="19">
        <f t="shared" ca="1" si="110"/>
        <v>0.13</v>
      </c>
      <c r="U340" s="1" t="str">
        <f t="shared" ca="1" si="111"/>
        <v>Low Discount</v>
      </c>
    </row>
    <row r="341" spans="1:21" ht="15.6" customHeight="1" x14ac:dyDescent="0.3">
      <c r="A341" s="1" t="str">
        <f t="shared" si="106"/>
        <v>ORD-340</v>
      </c>
      <c r="B341" s="10">
        <f t="shared" ca="1" si="107"/>
        <v>45342</v>
      </c>
      <c r="C341" s="7">
        <f t="shared" ca="1" si="108"/>
        <v>45343</v>
      </c>
      <c r="D341" s="1" t="str">
        <f t="shared" ca="1" si="126"/>
        <v>Standard Class</v>
      </c>
      <c r="E341" s="1" t="str">
        <f t="shared" ca="1" si="112"/>
        <v>CU-932</v>
      </c>
      <c r="F341" s="1" t="str">
        <f t="shared" ca="1" si="113"/>
        <v>Neha Gupta</v>
      </c>
      <c r="G341" s="1" t="str">
        <f t="shared" ca="1" si="114"/>
        <v>Corporate</v>
      </c>
      <c r="H341" s="1" t="str">
        <f t="shared" si="115"/>
        <v>India</v>
      </c>
      <c r="I341" s="1" t="str">
        <f t="shared" ca="1" si="116"/>
        <v>West</v>
      </c>
      <c r="J341" s="1" t="str">
        <f t="shared" ca="1" si="117"/>
        <v>Maharashtra</v>
      </c>
      <c r="K341" s="1" t="str">
        <f t="shared" ca="1" si="118"/>
        <v>Chennai</v>
      </c>
      <c r="L341" s="1" t="str">
        <f t="shared" ca="1" si="119"/>
        <v>Office Supplies</v>
      </c>
      <c r="M341" s="1" t="str">
        <f t="shared" ca="1" si="120"/>
        <v>Table</v>
      </c>
      <c r="N341" s="1" t="str">
        <f t="shared" ca="1" si="121"/>
        <v>Office Table</v>
      </c>
      <c r="O341" s="1">
        <f t="shared" ca="1" si="122"/>
        <v>27555</v>
      </c>
      <c r="P341" s="1">
        <f t="shared" ca="1" si="123"/>
        <v>10</v>
      </c>
      <c r="Q341" s="19">
        <f t="shared" ca="1" si="124"/>
        <v>0.3</v>
      </c>
      <c r="R341" s="1">
        <f t="shared" ca="1" si="125"/>
        <v>-3306.6</v>
      </c>
      <c r="S341" s="1">
        <f t="shared" ca="1" si="109"/>
        <v>1</v>
      </c>
      <c r="T341" s="19">
        <f t="shared" ca="1" si="110"/>
        <v>-0.12</v>
      </c>
      <c r="U341" s="1" t="str">
        <f t="shared" ca="1" si="111"/>
        <v>High Discount</v>
      </c>
    </row>
    <row r="342" spans="1:21" ht="15.6" customHeight="1" x14ac:dyDescent="0.3">
      <c r="A342" s="1" t="str">
        <f t="shared" si="106"/>
        <v>ORD-341</v>
      </c>
      <c r="B342" s="10">
        <f t="shared" ca="1" si="107"/>
        <v>45327</v>
      </c>
      <c r="C342" s="7">
        <f t="shared" ca="1" si="108"/>
        <v>45332</v>
      </c>
      <c r="D342" s="1" t="str">
        <f t="shared" ca="1" si="126"/>
        <v>Same Day</v>
      </c>
      <c r="E342" s="1" t="str">
        <f t="shared" ca="1" si="112"/>
        <v>CU-447</v>
      </c>
      <c r="F342" s="1" t="str">
        <f t="shared" ca="1" si="113"/>
        <v>Ravi Mehta</v>
      </c>
      <c r="G342" s="1" t="str">
        <f t="shared" ca="1" si="114"/>
        <v>Corporate</v>
      </c>
      <c r="H342" s="1" t="str">
        <f t="shared" si="115"/>
        <v>India</v>
      </c>
      <c r="I342" s="1" t="str">
        <f t="shared" ca="1" si="116"/>
        <v>West</v>
      </c>
      <c r="J342" s="1" t="str">
        <f t="shared" ca="1" si="117"/>
        <v>Gujarat</v>
      </c>
      <c r="K342" s="1" t="str">
        <f t="shared" ca="1" si="118"/>
        <v>Bangalore</v>
      </c>
      <c r="L342" s="1" t="str">
        <f t="shared" ca="1" si="119"/>
        <v>Furniture</v>
      </c>
      <c r="M342" s="1" t="str">
        <f t="shared" ca="1" si="120"/>
        <v>Paper</v>
      </c>
      <c r="N342" s="1" t="str">
        <f t="shared" ca="1" si="121"/>
        <v>A4 Paper</v>
      </c>
      <c r="O342" s="1">
        <f t="shared" ca="1" si="122"/>
        <v>49089</v>
      </c>
      <c r="P342" s="1">
        <f t="shared" ca="1" si="123"/>
        <v>3</v>
      </c>
      <c r="Q342" s="19">
        <f t="shared" ca="1" si="124"/>
        <v>0.2</v>
      </c>
      <c r="R342" s="1">
        <f t="shared" ca="1" si="125"/>
        <v>-981.78000000000088</v>
      </c>
      <c r="S342" s="1">
        <f t="shared" ca="1" si="109"/>
        <v>5</v>
      </c>
      <c r="T342" s="19">
        <f t="shared" ca="1" si="110"/>
        <v>-2.0000000000000018E-2</v>
      </c>
      <c r="U342" s="1" t="str">
        <f t="shared" ca="1" si="111"/>
        <v>High Discount</v>
      </c>
    </row>
    <row r="343" spans="1:21" ht="15.6" customHeight="1" x14ac:dyDescent="0.3">
      <c r="A343" s="1" t="str">
        <f t="shared" si="106"/>
        <v>ORD-342</v>
      </c>
      <c r="B343" s="10">
        <f t="shared" ca="1" si="107"/>
        <v>45360</v>
      </c>
      <c r="C343" s="7">
        <f t="shared" ca="1" si="108"/>
        <v>45364</v>
      </c>
      <c r="D343" s="1" t="str">
        <f t="shared" ca="1" si="126"/>
        <v>Same Day</v>
      </c>
      <c r="E343" s="1" t="str">
        <f t="shared" ca="1" si="112"/>
        <v>CU-555</v>
      </c>
      <c r="F343" s="1" t="str">
        <f t="shared" ca="1" si="113"/>
        <v>Sunil Kumar</v>
      </c>
      <c r="G343" s="1" t="str">
        <f t="shared" ca="1" si="114"/>
        <v>Consumer</v>
      </c>
      <c r="H343" s="1" t="str">
        <f t="shared" si="115"/>
        <v>India</v>
      </c>
      <c r="I343" s="1" t="str">
        <f t="shared" ca="1" si="116"/>
        <v>East</v>
      </c>
      <c r="J343" s="1" t="str">
        <f t="shared" ca="1" si="117"/>
        <v>Delhi</v>
      </c>
      <c r="K343" s="1" t="str">
        <f t="shared" ca="1" si="118"/>
        <v>Delhi</v>
      </c>
      <c r="L343" s="1" t="str">
        <f t="shared" ca="1" si="119"/>
        <v>Technology</v>
      </c>
      <c r="M343" s="1" t="str">
        <f t="shared" ca="1" si="120"/>
        <v>Chair</v>
      </c>
      <c r="N343" s="1" t="str">
        <f t="shared" ca="1" si="121"/>
        <v>Samsung Galaxy</v>
      </c>
      <c r="O343" s="1">
        <f t="shared" ca="1" si="122"/>
        <v>57039</v>
      </c>
      <c r="P343" s="1">
        <f t="shared" ca="1" si="123"/>
        <v>9</v>
      </c>
      <c r="Q343" s="19">
        <f t="shared" ca="1" si="124"/>
        <v>0.1</v>
      </c>
      <c r="R343" s="1">
        <f t="shared" ca="1" si="125"/>
        <v>4563.119999999999</v>
      </c>
      <c r="S343" s="1">
        <f t="shared" ca="1" si="109"/>
        <v>4</v>
      </c>
      <c r="T343" s="19">
        <f t="shared" ca="1" si="110"/>
        <v>7.9999999999999988E-2</v>
      </c>
      <c r="U343" s="1" t="str">
        <f t="shared" ca="1" si="111"/>
        <v>Low Discount</v>
      </c>
    </row>
    <row r="344" spans="1:21" ht="15.6" customHeight="1" x14ac:dyDescent="0.3">
      <c r="A344" s="1" t="str">
        <f t="shared" si="106"/>
        <v>ORD-343</v>
      </c>
      <c r="B344" s="10">
        <f t="shared" ca="1" si="107"/>
        <v>45489</v>
      </c>
      <c r="C344" s="7">
        <f t="shared" ca="1" si="108"/>
        <v>45489</v>
      </c>
      <c r="D344" s="1" t="str">
        <f t="shared" ca="1" si="126"/>
        <v>Standard Class</v>
      </c>
      <c r="E344" s="1" t="str">
        <f t="shared" ca="1" si="112"/>
        <v>CU-388</v>
      </c>
      <c r="F344" s="1" t="str">
        <f t="shared" ca="1" si="113"/>
        <v>Ravi Mehta</v>
      </c>
      <c r="G344" s="1" t="str">
        <f t="shared" ca="1" si="114"/>
        <v>Consumer</v>
      </c>
      <c r="H344" s="1" t="str">
        <f t="shared" si="115"/>
        <v>India</v>
      </c>
      <c r="I344" s="1" t="str">
        <f t="shared" ca="1" si="116"/>
        <v>East</v>
      </c>
      <c r="J344" s="1" t="str">
        <f t="shared" ca="1" si="117"/>
        <v>Tamil Nadu</v>
      </c>
      <c r="K344" s="1" t="str">
        <f t="shared" ca="1" si="118"/>
        <v>Kolkata</v>
      </c>
      <c r="L344" s="1" t="str">
        <f t="shared" ca="1" si="119"/>
        <v>Furniture</v>
      </c>
      <c r="M344" s="1" t="str">
        <f t="shared" ca="1" si="120"/>
        <v>Chair</v>
      </c>
      <c r="N344" s="1" t="str">
        <f t="shared" ca="1" si="121"/>
        <v>Office Chair</v>
      </c>
      <c r="O344" s="1">
        <f t="shared" ca="1" si="122"/>
        <v>41549</v>
      </c>
      <c r="P344" s="1">
        <f t="shared" ca="1" si="123"/>
        <v>5</v>
      </c>
      <c r="Q344" s="19">
        <f t="shared" ca="1" si="124"/>
        <v>0.2</v>
      </c>
      <c r="R344" s="1">
        <f t="shared" ca="1" si="125"/>
        <v>-830.9800000000007</v>
      </c>
      <c r="S344" s="1">
        <f t="shared" ca="1" si="109"/>
        <v>0</v>
      </c>
      <c r="T344" s="19">
        <f t="shared" ca="1" si="110"/>
        <v>-2.0000000000000018E-2</v>
      </c>
      <c r="U344" s="1" t="str">
        <f t="shared" ca="1" si="111"/>
        <v>High Discount</v>
      </c>
    </row>
    <row r="345" spans="1:21" ht="15.6" customHeight="1" x14ac:dyDescent="0.3">
      <c r="A345" s="1" t="str">
        <f t="shared" si="106"/>
        <v>ORD-344</v>
      </c>
      <c r="B345" s="10">
        <f t="shared" ca="1" si="107"/>
        <v>45584</v>
      </c>
      <c r="C345" s="7">
        <f t="shared" ca="1" si="108"/>
        <v>45585</v>
      </c>
      <c r="D345" s="1" t="str">
        <f t="shared" ca="1" si="126"/>
        <v>Same Day</v>
      </c>
      <c r="E345" s="1" t="str">
        <f t="shared" ca="1" si="112"/>
        <v>CU-494</v>
      </c>
      <c r="F345" s="1" t="str">
        <f t="shared" ca="1" si="113"/>
        <v>Pooja Yadav</v>
      </c>
      <c r="G345" s="1" t="str">
        <f t="shared" ca="1" si="114"/>
        <v>Home Office</v>
      </c>
      <c r="H345" s="1" t="str">
        <f t="shared" si="115"/>
        <v>India</v>
      </c>
      <c r="I345" s="1" t="str">
        <f t="shared" ca="1" si="116"/>
        <v>East</v>
      </c>
      <c r="J345" s="1" t="str">
        <f t="shared" ca="1" si="117"/>
        <v>West Bengal</v>
      </c>
      <c r="K345" s="1" t="str">
        <f t="shared" ca="1" si="118"/>
        <v>Kolkata</v>
      </c>
      <c r="L345" s="1" t="str">
        <f t="shared" ca="1" si="119"/>
        <v>Office Supplies</v>
      </c>
      <c r="M345" s="1" t="str">
        <f t="shared" ca="1" si="120"/>
        <v>Paper</v>
      </c>
      <c r="N345" s="1" t="str">
        <f t="shared" ca="1" si="121"/>
        <v>HP Pavilion</v>
      </c>
      <c r="O345" s="1">
        <f t="shared" ca="1" si="122"/>
        <v>54454</v>
      </c>
      <c r="P345" s="1">
        <f t="shared" ca="1" si="123"/>
        <v>8</v>
      </c>
      <c r="Q345" s="19">
        <f t="shared" ca="1" si="124"/>
        <v>0.2</v>
      </c>
      <c r="R345" s="1">
        <f t="shared" ca="1" si="125"/>
        <v>-1089.0800000000011</v>
      </c>
      <c r="S345" s="1">
        <f t="shared" ca="1" si="109"/>
        <v>1</v>
      </c>
      <c r="T345" s="19">
        <f t="shared" ca="1" si="110"/>
        <v>-2.0000000000000021E-2</v>
      </c>
      <c r="U345" s="1" t="str">
        <f t="shared" ca="1" si="111"/>
        <v>High Discount</v>
      </c>
    </row>
    <row r="346" spans="1:21" ht="15.6" customHeight="1" x14ac:dyDescent="0.3">
      <c r="A346" s="1" t="str">
        <f t="shared" si="106"/>
        <v>ORD-345</v>
      </c>
      <c r="B346" s="10">
        <f t="shared" ca="1" si="107"/>
        <v>45588</v>
      </c>
      <c r="C346" s="7">
        <f t="shared" ca="1" si="108"/>
        <v>45592</v>
      </c>
      <c r="D346" s="1" t="str">
        <f t="shared" ca="1" si="126"/>
        <v>Second Class</v>
      </c>
      <c r="E346" s="1" t="str">
        <f t="shared" ca="1" si="112"/>
        <v>CU-545</v>
      </c>
      <c r="F346" s="1" t="str">
        <f t="shared" ca="1" si="113"/>
        <v>Amit Verma</v>
      </c>
      <c r="G346" s="1" t="str">
        <f t="shared" ca="1" si="114"/>
        <v>Corporate</v>
      </c>
      <c r="H346" s="1" t="str">
        <f t="shared" si="115"/>
        <v>India</v>
      </c>
      <c r="I346" s="1" t="str">
        <f t="shared" ca="1" si="116"/>
        <v>East</v>
      </c>
      <c r="J346" s="1" t="str">
        <f t="shared" ca="1" si="117"/>
        <v>Tamil Nadu</v>
      </c>
      <c r="K346" s="1" t="str">
        <f t="shared" ca="1" si="118"/>
        <v>Chennai</v>
      </c>
      <c r="L346" s="1" t="str">
        <f t="shared" ca="1" si="119"/>
        <v>Furniture</v>
      </c>
      <c r="M346" s="1" t="str">
        <f t="shared" ca="1" si="120"/>
        <v>Mobile</v>
      </c>
      <c r="N346" s="1" t="str">
        <f t="shared" ca="1" si="121"/>
        <v>HP Pavilion</v>
      </c>
      <c r="O346" s="1">
        <f t="shared" ca="1" si="122"/>
        <v>36684</v>
      </c>
      <c r="P346" s="1">
        <f t="shared" ca="1" si="123"/>
        <v>1</v>
      </c>
      <c r="Q346" s="19">
        <f t="shared" ca="1" si="124"/>
        <v>0</v>
      </c>
      <c r="R346" s="1">
        <f t="shared" ca="1" si="125"/>
        <v>6603.12</v>
      </c>
      <c r="S346" s="1">
        <f t="shared" ca="1" si="109"/>
        <v>4</v>
      </c>
      <c r="T346" s="19">
        <f t="shared" ca="1" si="110"/>
        <v>0.18</v>
      </c>
      <c r="U346" s="1" t="str">
        <f t="shared" ca="1" si="111"/>
        <v>Low Discount</v>
      </c>
    </row>
    <row r="347" spans="1:21" ht="15.6" customHeight="1" x14ac:dyDescent="0.3">
      <c r="A347" s="1" t="str">
        <f t="shared" si="106"/>
        <v>ORD-346</v>
      </c>
      <c r="B347" s="10">
        <f t="shared" ca="1" si="107"/>
        <v>45379</v>
      </c>
      <c r="C347" s="7">
        <f t="shared" ca="1" si="108"/>
        <v>45379</v>
      </c>
      <c r="D347" s="1" t="str">
        <f t="shared" ca="1" si="126"/>
        <v>Second Class</v>
      </c>
      <c r="E347" s="1" t="str">
        <f t="shared" ca="1" si="112"/>
        <v>CU-974</v>
      </c>
      <c r="F347" s="1" t="str">
        <f t="shared" ca="1" si="113"/>
        <v>Arjun Malhotra</v>
      </c>
      <c r="G347" s="1" t="str">
        <f t="shared" ca="1" si="114"/>
        <v>Consumer</v>
      </c>
      <c r="H347" s="1" t="str">
        <f t="shared" si="115"/>
        <v>India</v>
      </c>
      <c r="I347" s="1" t="str">
        <f t="shared" ca="1" si="116"/>
        <v>West</v>
      </c>
      <c r="J347" s="1" t="str">
        <f t="shared" ca="1" si="117"/>
        <v>Gujarat</v>
      </c>
      <c r="K347" s="1" t="str">
        <f t="shared" ca="1" si="118"/>
        <v>Delhi</v>
      </c>
      <c r="L347" s="1" t="str">
        <f t="shared" ca="1" si="119"/>
        <v>Office Supplies</v>
      </c>
      <c r="M347" s="1" t="str">
        <f t="shared" ca="1" si="120"/>
        <v>Laptop</v>
      </c>
      <c r="N347" s="1" t="str">
        <f t="shared" ca="1" si="121"/>
        <v>Office Chair</v>
      </c>
      <c r="O347" s="1">
        <f t="shared" ca="1" si="122"/>
        <v>57289</v>
      </c>
      <c r="P347" s="1">
        <f t="shared" ca="1" si="123"/>
        <v>3</v>
      </c>
      <c r="Q347" s="19">
        <f t="shared" ca="1" si="124"/>
        <v>0.05</v>
      </c>
      <c r="R347" s="1">
        <f t="shared" ca="1" si="125"/>
        <v>7447.5700000000006</v>
      </c>
      <c r="S347" s="1">
        <f t="shared" ca="1" si="109"/>
        <v>0</v>
      </c>
      <c r="T347" s="19">
        <f t="shared" ca="1" si="110"/>
        <v>0.13</v>
      </c>
      <c r="U347" s="1" t="str">
        <f t="shared" ca="1" si="111"/>
        <v>Low Discount</v>
      </c>
    </row>
    <row r="348" spans="1:21" ht="15.6" customHeight="1" x14ac:dyDescent="0.3">
      <c r="A348" s="1" t="str">
        <f t="shared" si="106"/>
        <v>ORD-347</v>
      </c>
      <c r="B348" s="10">
        <f t="shared" ca="1" si="107"/>
        <v>45503</v>
      </c>
      <c r="C348" s="7">
        <f t="shared" ca="1" si="108"/>
        <v>45504</v>
      </c>
      <c r="D348" s="1" t="str">
        <f t="shared" ca="1" si="126"/>
        <v>Standard Class</v>
      </c>
      <c r="E348" s="1" t="str">
        <f t="shared" ca="1" si="112"/>
        <v>CU-930</v>
      </c>
      <c r="F348" s="1" t="str">
        <f t="shared" ca="1" si="113"/>
        <v>Pooja Yadav</v>
      </c>
      <c r="G348" s="1" t="str">
        <f t="shared" ca="1" si="114"/>
        <v>Consumer</v>
      </c>
      <c r="H348" s="1" t="str">
        <f t="shared" si="115"/>
        <v>India</v>
      </c>
      <c r="I348" s="1" t="str">
        <f t="shared" ca="1" si="116"/>
        <v>North</v>
      </c>
      <c r="J348" s="1" t="str">
        <f t="shared" ca="1" si="117"/>
        <v>Tamil Nadu</v>
      </c>
      <c r="K348" s="1" t="str">
        <f t="shared" ca="1" si="118"/>
        <v>Kolkata</v>
      </c>
      <c r="L348" s="1" t="str">
        <f t="shared" ca="1" si="119"/>
        <v>Furniture</v>
      </c>
      <c r="M348" s="1" t="str">
        <f t="shared" ca="1" si="120"/>
        <v>Chair</v>
      </c>
      <c r="N348" s="1" t="str">
        <f t="shared" ca="1" si="121"/>
        <v>Office Table</v>
      </c>
      <c r="O348" s="1">
        <f t="shared" ca="1" si="122"/>
        <v>14479</v>
      </c>
      <c r="P348" s="1">
        <f t="shared" ca="1" si="123"/>
        <v>2</v>
      </c>
      <c r="Q348" s="19">
        <f t="shared" ca="1" si="124"/>
        <v>0.2</v>
      </c>
      <c r="R348" s="1">
        <f t="shared" ca="1" si="125"/>
        <v>-289.58000000000027</v>
      </c>
      <c r="S348" s="1">
        <f t="shared" ca="1" si="109"/>
        <v>1</v>
      </c>
      <c r="T348" s="19">
        <f t="shared" ca="1" si="110"/>
        <v>-2.0000000000000018E-2</v>
      </c>
      <c r="U348" s="1" t="str">
        <f t="shared" ca="1" si="111"/>
        <v>High Discount</v>
      </c>
    </row>
    <row r="349" spans="1:21" ht="15.6" customHeight="1" x14ac:dyDescent="0.3">
      <c r="A349" s="1" t="str">
        <f t="shared" si="106"/>
        <v>ORD-348</v>
      </c>
      <c r="B349" s="10">
        <f t="shared" ca="1" si="107"/>
        <v>45528</v>
      </c>
      <c r="C349" s="7">
        <f t="shared" ca="1" si="108"/>
        <v>45529</v>
      </c>
      <c r="D349" s="1" t="str">
        <f t="shared" ca="1" si="126"/>
        <v>Second Class</v>
      </c>
      <c r="E349" s="1" t="str">
        <f t="shared" ca="1" si="112"/>
        <v>CU-256</v>
      </c>
      <c r="F349" s="1" t="str">
        <f t="shared" ca="1" si="113"/>
        <v>Neha Gupta</v>
      </c>
      <c r="G349" s="1" t="str">
        <f t="shared" ca="1" si="114"/>
        <v>Corporate</v>
      </c>
      <c r="H349" s="1" t="str">
        <f t="shared" si="115"/>
        <v>India</v>
      </c>
      <c r="I349" s="1" t="str">
        <f t="shared" ca="1" si="116"/>
        <v>North</v>
      </c>
      <c r="J349" s="1" t="str">
        <f t="shared" ca="1" si="117"/>
        <v>Karnataka</v>
      </c>
      <c r="K349" s="1" t="str">
        <f t="shared" ca="1" si="118"/>
        <v>Mumbai</v>
      </c>
      <c r="L349" s="1" t="str">
        <f t="shared" ca="1" si="119"/>
        <v>Technology</v>
      </c>
      <c r="M349" s="1" t="str">
        <f t="shared" ca="1" si="120"/>
        <v>Mobile</v>
      </c>
      <c r="N349" s="1" t="str">
        <f t="shared" ca="1" si="121"/>
        <v>HP Pavilion</v>
      </c>
      <c r="O349" s="1">
        <f t="shared" ca="1" si="122"/>
        <v>57025</v>
      </c>
      <c r="P349" s="1">
        <f t="shared" ca="1" si="123"/>
        <v>2</v>
      </c>
      <c r="Q349" s="19">
        <f t="shared" ca="1" si="124"/>
        <v>0.1</v>
      </c>
      <c r="R349" s="1">
        <f t="shared" ca="1" si="125"/>
        <v>4561.9999999999991</v>
      </c>
      <c r="S349" s="1">
        <f t="shared" ca="1" si="109"/>
        <v>1</v>
      </c>
      <c r="T349" s="19">
        <f t="shared" ca="1" si="110"/>
        <v>7.9999999999999988E-2</v>
      </c>
      <c r="U349" s="1" t="str">
        <f t="shared" ca="1" si="111"/>
        <v>Low Discount</v>
      </c>
    </row>
    <row r="350" spans="1:21" ht="15.6" customHeight="1" x14ac:dyDescent="0.3">
      <c r="A350" s="1" t="str">
        <f t="shared" si="106"/>
        <v>ORD-349</v>
      </c>
      <c r="B350" s="10">
        <f t="shared" ca="1" si="107"/>
        <v>45404</v>
      </c>
      <c r="C350" s="7">
        <f t="shared" ca="1" si="108"/>
        <v>45404</v>
      </c>
      <c r="D350" s="1" t="str">
        <f t="shared" ca="1" si="126"/>
        <v>Standard Class</v>
      </c>
      <c r="E350" s="1" t="str">
        <f t="shared" ca="1" si="112"/>
        <v>CU-200</v>
      </c>
      <c r="F350" s="1" t="str">
        <f t="shared" ca="1" si="113"/>
        <v>Priya Singh</v>
      </c>
      <c r="G350" s="1" t="str">
        <f t="shared" ca="1" si="114"/>
        <v>Corporate</v>
      </c>
      <c r="H350" s="1" t="str">
        <f t="shared" si="115"/>
        <v>India</v>
      </c>
      <c r="I350" s="1" t="str">
        <f t="shared" ca="1" si="116"/>
        <v>East</v>
      </c>
      <c r="J350" s="1" t="str">
        <f t="shared" ca="1" si="117"/>
        <v>Tamil Nadu</v>
      </c>
      <c r="K350" s="1" t="str">
        <f t="shared" ca="1" si="118"/>
        <v>Chennai</v>
      </c>
      <c r="L350" s="1" t="str">
        <f t="shared" ca="1" si="119"/>
        <v>Furniture</v>
      </c>
      <c r="M350" s="1" t="str">
        <f t="shared" ca="1" si="120"/>
        <v>Table</v>
      </c>
      <c r="N350" s="1" t="str">
        <f t="shared" ca="1" si="121"/>
        <v>HP Pavilion</v>
      </c>
      <c r="O350" s="1">
        <f t="shared" ca="1" si="122"/>
        <v>57560</v>
      </c>
      <c r="P350" s="1">
        <f t="shared" ca="1" si="123"/>
        <v>8</v>
      </c>
      <c r="Q350" s="19">
        <f t="shared" ca="1" si="124"/>
        <v>0.1</v>
      </c>
      <c r="R350" s="1">
        <f t="shared" ca="1" si="125"/>
        <v>4604.7999999999993</v>
      </c>
      <c r="S350" s="1">
        <f t="shared" ca="1" si="109"/>
        <v>0</v>
      </c>
      <c r="T350" s="19">
        <f t="shared" ca="1" si="110"/>
        <v>7.9999999999999988E-2</v>
      </c>
      <c r="U350" s="1" t="str">
        <f t="shared" ca="1" si="111"/>
        <v>Low Discount</v>
      </c>
    </row>
    <row r="351" spans="1:21" ht="15.6" customHeight="1" x14ac:dyDescent="0.3">
      <c r="A351" s="1" t="str">
        <f t="shared" si="106"/>
        <v>ORD-350</v>
      </c>
      <c r="B351" s="10">
        <f t="shared" ca="1" si="107"/>
        <v>45393</v>
      </c>
      <c r="C351" s="7">
        <f t="shared" ca="1" si="108"/>
        <v>45393</v>
      </c>
      <c r="D351" s="1" t="str">
        <f t="shared" ca="1" si="126"/>
        <v>Second Class</v>
      </c>
      <c r="E351" s="1" t="str">
        <f t="shared" ca="1" si="112"/>
        <v>CU-498</v>
      </c>
      <c r="F351" s="1" t="str">
        <f t="shared" ca="1" si="113"/>
        <v>Neha Gupta</v>
      </c>
      <c r="G351" s="1" t="str">
        <f t="shared" ca="1" si="114"/>
        <v>Corporate</v>
      </c>
      <c r="H351" s="1" t="str">
        <f t="shared" si="115"/>
        <v>India</v>
      </c>
      <c r="I351" s="1" t="str">
        <f t="shared" ca="1" si="116"/>
        <v>North</v>
      </c>
      <c r="J351" s="1" t="str">
        <f t="shared" ca="1" si="117"/>
        <v>Maharashtra</v>
      </c>
      <c r="K351" s="1" t="str">
        <f t="shared" ca="1" si="118"/>
        <v>Kolkata</v>
      </c>
      <c r="L351" s="1" t="str">
        <f t="shared" ca="1" si="119"/>
        <v>Furniture</v>
      </c>
      <c r="M351" s="1" t="str">
        <f t="shared" ca="1" si="120"/>
        <v>Table</v>
      </c>
      <c r="N351" s="1" t="str">
        <f t="shared" ca="1" si="121"/>
        <v>Samsung Galaxy</v>
      </c>
      <c r="O351" s="1">
        <f t="shared" ca="1" si="122"/>
        <v>676</v>
      </c>
      <c r="P351" s="1">
        <f t="shared" ca="1" si="123"/>
        <v>1</v>
      </c>
      <c r="Q351" s="19">
        <f t="shared" ca="1" si="124"/>
        <v>0.2</v>
      </c>
      <c r="R351" s="1">
        <f t="shared" ca="1" si="125"/>
        <v>-13.520000000000012</v>
      </c>
      <c r="S351" s="1">
        <f t="shared" ca="1" si="109"/>
        <v>0</v>
      </c>
      <c r="T351" s="19">
        <f t="shared" ca="1" si="110"/>
        <v>-2.0000000000000018E-2</v>
      </c>
      <c r="U351" s="1" t="str">
        <f t="shared" ca="1" si="111"/>
        <v>High Discount</v>
      </c>
    </row>
    <row r="352" spans="1:21" ht="15.6" customHeight="1" x14ac:dyDescent="0.3">
      <c r="A352" s="1" t="str">
        <f t="shared" si="106"/>
        <v>ORD-351</v>
      </c>
      <c r="B352" s="10">
        <f t="shared" ca="1" si="107"/>
        <v>45600</v>
      </c>
      <c r="C352" s="7">
        <f t="shared" ca="1" si="108"/>
        <v>45605</v>
      </c>
      <c r="D352" s="1" t="str">
        <f t="shared" ca="1" si="126"/>
        <v>Standard Class</v>
      </c>
      <c r="E352" s="1" t="str">
        <f t="shared" ca="1" si="112"/>
        <v>CU-381</v>
      </c>
      <c r="F352" s="1" t="str">
        <f t="shared" ca="1" si="113"/>
        <v>Amit Verma</v>
      </c>
      <c r="G352" s="1" t="str">
        <f t="shared" ca="1" si="114"/>
        <v>Corporate</v>
      </c>
      <c r="H352" s="1" t="str">
        <f t="shared" si="115"/>
        <v>India</v>
      </c>
      <c r="I352" s="1" t="str">
        <f t="shared" ca="1" si="116"/>
        <v>North</v>
      </c>
      <c r="J352" s="1" t="str">
        <f t="shared" ca="1" si="117"/>
        <v>Tamil Nadu</v>
      </c>
      <c r="K352" s="1" t="str">
        <f t="shared" ca="1" si="118"/>
        <v>Chennai</v>
      </c>
      <c r="L352" s="1" t="str">
        <f t="shared" ca="1" si="119"/>
        <v>Office Supplies</v>
      </c>
      <c r="M352" s="1" t="str">
        <f t="shared" ca="1" si="120"/>
        <v>Laptop</v>
      </c>
      <c r="N352" s="1" t="str">
        <f t="shared" ca="1" si="121"/>
        <v>HP Pavilion</v>
      </c>
      <c r="O352" s="1">
        <f t="shared" ca="1" si="122"/>
        <v>54644</v>
      </c>
      <c r="P352" s="1">
        <f t="shared" ca="1" si="123"/>
        <v>1</v>
      </c>
      <c r="Q352" s="19">
        <f t="shared" ca="1" si="124"/>
        <v>0.3</v>
      </c>
      <c r="R352" s="1">
        <f t="shared" ca="1" si="125"/>
        <v>-6557.28</v>
      </c>
      <c r="S352" s="1">
        <f t="shared" ca="1" si="109"/>
        <v>5</v>
      </c>
      <c r="T352" s="19">
        <f t="shared" ca="1" si="110"/>
        <v>-0.12</v>
      </c>
      <c r="U352" s="1" t="str">
        <f t="shared" ca="1" si="111"/>
        <v>High Discount</v>
      </c>
    </row>
    <row r="353" spans="1:21" ht="15.6" customHeight="1" x14ac:dyDescent="0.3">
      <c r="A353" s="1" t="str">
        <f t="shared" si="106"/>
        <v>ORD-352</v>
      </c>
      <c r="B353" s="10">
        <f t="shared" ca="1" si="107"/>
        <v>45630</v>
      </c>
      <c r="C353" s="7">
        <f t="shared" ca="1" si="108"/>
        <v>45634</v>
      </c>
      <c r="D353" s="1" t="str">
        <f t="shared" ca="1" si="126"/>
        <v>Standard Class</v>
      </c>
      <c r="E353" s="1" t="str">
        <f t="shared" ca="1" si="112"/>
        <v>CU-326</v>
      </c>
      <c r="F353" s="1" t="str">
        <f t="shared" ca="1" si="113"/>
        <v>Rahul Sharma</v>
      </c>
      <c r="G353" s="1" t="str">
        <f t="shared" ca="1" si="114"/>
        <v>Consumer</v>
      </c>
      <c r="H353" s="1" t="str">
        <f t="shared" si="115"/>
        <v>India</v>
      </c>
      <c r="I353" s="1" t="str">
        <f t="shared" ca="1" si="116"/>
        <v>South</v>
      </c>
      <c r="J353" s="1" t="str">
        <f t="shared" ca="1" si="117"/>
        <v>Gujarat</v>
      </c>
      <c r="K353" s="1" t="str">
        <f t="shared" ca="1" si="118"/>
        <v>Chennai</v>
      </c>
      <c r="L353" s="1" t="str">
        <f t="shared" ca="1" si="119"/>
        <v>Technology</v>
      </c>
      <c r="M353" s="1" t="str">
        <f t="shared" ca="1" si="120"/>
        <v>Paper</v>
      </c>
      <c r="N353" s="1" t="str">
        <f t="shared" ca="1" si="121"/>
        <v>A4 Paper</v>
      </c>
      <c r="O353" s="1">
        <f t="shared" ca="1" si="122"/>
        <v>19267</v>
      </c>
      <c r="P353" s="1">
        <f t="shared" ca="1" si="123"/>
        <v>10</v>
      </c>
      <c r="Q353" s="19">
        <f t="shared" ca="1" si="124"/>
        <v>0.3</v>
      </c>
      <c r="R353" s="1">
        <f t="shared" ca="1" si="125"/>
        <v>-2312.04</v>
      </c>
      <c r="S353" s="1">
        <f t="shared" ca="1" si="109"/>
        <v>4</v>
      </c>
      <c r="T353" s="19">
        <f t="shared" ca="1" si="110"/>
        <v>-0.12</v>
      </c>
      <c r="U353" s="1" t="str">
        <f t="shared" ca="1" si="111"/>
        <v>High Discount</v>
      </c>
    </row>
    <row r="354" spans="1:21" ht="15.6" customHeight="1" x14ac:dyDescent="0.3">
      <c r="A354" s="1" t="str">
        <f t="shared" si="106"/>
        <v>ORD-353</v>
      </c>
      <c r="B354" s="10">
        <f t="shared" ca="1" si="107"/>
        <v>45334</v>
      </c>
      <c r="C354" s="7">
        <f t="shared" ca="1" si="108"/>
        <v>45338</v>
      </c>
      <c r="D354" s="1" t="str">
        <f t="shared" ca="1" si="126"/>
        <v>Same Day</v>
      </c>
      <c r="E354" s="1" t="str">
        <f t="shared" ca="1" si="112"/>
        <v>CU-461</v>
      </c>
      <c r="F354" s="1" t="str">
        <f t="shared" ca="1" si="113"/>
        <v>Arjun Malhotra</v>
      </c>
      <c r="G354" s="1" t="str">
        <f t="shared" ca="1" si="114"/>
        <v>Consumer</v>
      </c>
      <c r="H354" s="1" t="str">
        <f t="shared" si="115"/>
        <v>India</v>
      </c>
      <c r="I354" s="1" t="str">
        <f t="shared" ca="1" si="116"/>
        <v>East</v>
      </c>
      <c r="J354" s="1" t="str">
        <f t="shared" ca="1" si="117"/>
        <v>Maharashtra</v>
      </c>
      <c r="K354" s="1" t="str">
        <f t="shared" ca="1" si="118"/>
        <v>Chennai</v>
      </c>
      <c r="L354" s="1" t="str">
        <f t="shared" ca="1" si="119"/>
        <v>Technology</v>
      </c>
      <c r="M354" s="1" t="str">
        <f t="shared" ca="1" si="120"/>
        <v>Paper</v>
      </c>
      <c r="N354" s="1" t="str">
        <f t="shared" ca="1" si="121"/>
        <v>HP Pavilion</v>
      </c>
      <c r="O354" s="1">
        <f t="shared" ca="1" si="122"/>
        <v>43645</v>
      </c>
      <c r="P354" s="1">
        <f t="shared" ca="1" si="123"/>
        <v>4</v>
      </c>
      <c r="Q354" s="19">
        <f t="shared" ca="1" si="124"/>
        <v>0.05</v>
      </c>
      <c r="R354" s="1">
        <f t="shared" ca="1" si="125"/>
        <v>5673.85</v>
      </c>
      <c r="S354" s="1">
        <f t="shared" ca="1" si="109"/>
        <v>4</v>
      </c>
      <c r="T354" s="19">
        <f t="shared" ca="1" si="110"/>
        <v>0.13</v>
      </c>
      <c r="U354" s="1" t="str">
        <f t="shared" ca="1" si="111"/>
        <v>Low Discount</v>
      </c>
    </row>
    <row r="355" spans="1:21" ht="15.6" customHeight="1" x14ac:dyDescent="0.3">
      <c r="A355" s="1" t="str">
        <f t="shared" si="106"/>
        <v>ORD-354</v>
      </c>
      <c r="B355" s="10">
        <f t="shared" ca="1" si="107"/>
        <v>45402</v>
      </c>
      <c r="C355" s="7">
        <f t="shared" ca="1" si="108"/>
        <v>45404</v>
      </c>
      <c r="D355" s="1" t="str">
        <f t="shared" ca="1" si="126"/>
        <v>Second Class</v>
      </c>
      <c r="E355" s="1" t="str">
        <f t="shared" ca="1" si="112"/>
        <v>CU-401</v>
      </c>
      <c r="F355" s="1" t="str">
        <f t="shared" ca="1" si="113"/>
        <v>Neha Gupta</v>
      </c>
      <c r="G355" s="1" t="str">
        <f t="shared" ca="1" si="114"/>
        <v>Consumer</v>
      </c>
      <c r="H355" s="1" t="str">
        <f t="shared" si="115"/>
        <v>India</v>
      </c>
      <c r="I355" s="1" t="str">
        <f t="shared" ca="1" si="116"/>
        <v>South</v>
      </c>
      <c r="J355" s="1" t="str">
        <f t="shared" ca="1" si="117"/>
        <v>Maharashtra</v>
      </c>
      <c r="K355" s="1" t="str">
        <f t="shared" ca="1" si="118"/>
        <v>Chennai</v>
      </c>
      <c r="L355" s="1" t="str">
        <f t="shared" ca="1" si="119"/>
        <v>Office Supplies</v>
      </c>
      <c r="M355" s="1" t="str">
        <f t="shared" ca="1" si="120"/>
        <v>Chair</v>
      </c>
      <c r="N355" s="1" t="str">
        <f t="shared" ca="1" si="121"/>
        <v>Office Chair</v>
      </c>
      <c r="O355" s="1">
        <f t="shared" ca="1" si="122"/>
        <v>6067</v>
      </c>
      <c r="P355" s="1">
        <f t="shared" ca="1" si="123"/>
        <v>9</v>
      </c>
      <c r="Q355" s="19">
        <f t="shared" ca="1" si="124"/>
        <v>0.3</v>
      </c>
      <c r="R355" s="1">
        <f t="shared" ca="1" si="125"/>
        <v>-728.04</v>
      </c>
      <c r="S355" s="1">
        <f t="shared" ca="1" si="109"/>
        <v>2</v>
      </c>
      <c r="T355" s="19">
        <f t="shared" ca="1" si="110"/>
        <v>-0.12</v>
      </c>
      <c r="U355" s="1" t="str">
        <f t="shared" ca="1" si="111"/>
        <v>High Discount</v>
      </c>
    </row>
    <row r="356" spans="1:21" ht="15.6" customHeight="1" x14ac:dyDescent="0.3">
      <c r="A356" s="1" t="str">
        <f t="shared" si="106"/>
        <v>ORD-355</v>
      </c>
      <c r="B356" s="10">
        <f t="shared" ca="1" si="107"/>
        <v>45363</v>
      </c>
      <c r="C356" s="7">
        <f t="shared" ca="1" si="108"/>
        <v>45365</v>
      </c>
      <c r="D356" s="1" t="str">
        <f t="shared" ca="1" si="126"/>
        <v>Same Day</v>
      </c>
      <c r="E356" s="1" t="str">
        <f t="shared" ca="1" si="112"/>
        <v>CU-428</v>
      </c>
      <c r="F356" s="1" t="str">
        <f t="shared" ca="1" si="113"/>
        <v>Amit Verma</v>
      </c>
      <c r="G356" s="1" t="str">
        <f t="shared" ca="1" si="114"/>
        <v>Corporate</v>
      </c>
      <c r="H356" s="1" t="str">
        <f t="shared" si="115"/>
        <v>India</v>
      </c>
      <c r="I356" s="1" t="str">
        <f t="shared" ca="1" si="116"/>
        <v>North</v>
      </c>
      <c r="J356" s="1" t="str">
        <f t="shared" ca="1" si="117"/>
        <v>Delhi</v>
      </c>
      <c r="K356" s="1" t="str">
        <f t="shared" ca="1" si="118"/>
        <v>Kolkata</v>
      </c>
      <c r="L356" s="1" t="str">
        <f t="shared" ca="1" si="119"/>
        <v>Furniture</v>
      </c>
      <c r="M356" s="1" t="str">
        <f t="shared" ca="1" si="120"/>
        <v>Chair</v>
      </c>
      <c r="N356" s="1" t="str">
        <f t="shared" ca="1" si="121"/>
        <v>A4 Paper</v>
      </c>
      <c r="O356" s="1">
        <f t="shared" ca="1" si="122"/>
        <v>559</v>
      </c>
      <c r="P356" s="1">
        <f t="shared" ca="1" si="123"/>
        <v>4</v>
      </c>
      <c r="Q356" s="19">
        <f t="shared" ca="1" si="124"/>
        <v>0.3</v>
      </c>
      <c r="R356" s="1">
        <f t="shared" ca="1" si="125"/>
        <v>-67.08</v>
      </c>
      <c r="S356" s="1">
        <f t="shared" ca="1" si="109"/>
        <v>2</v>
      </c>
      <c r="T356" s="19">
        <f t="shared" ca="1" si="110"/>
        <v>-0.12</v>
      </c>
      <c r="U356" s="1" t="str">
        <f t="shared" ca="1" si="111"/>
        <v>High Discount</v>
      </c>
    </row>
    <row r="357" spans="1:21" ht="15.6" customHeight="1" x14ac:dyDescent="0.3">
      <c r="A357" s="1" t="str">
        <f t="shared" si="106"/>
        <v>ORD-356</v>
      </c>
      <c r="B357" s="10">
        <f t="shared" ca="1" si="107"/>
        <v>45332</v>
      </c>
      <c r="C357" s="7">
        <f t="shared" ca="1" si="108"/>
        <v>45336</v>
      </c>
      <c r="D357" s="1" t="str">
        <f t="shared" ca="1" si="126"/>
        <v>Same Day</v>
      </c>
      <c r="E357" s="1" t="str">
        <f t="shared" ca="1" si="112"/>
        <v>CU-451</v>
      </c>
      <c r="F357" s="1" t="str">
        <f t="shared" ca="1" si="113"/>
        <v>Rahul Sharma</v>
      </c>
      <c r="G357" s="1" t="str">
        <f t="shared" ca="1" si="114"/>
        <v>Corporate</v>
      </c>
      <c r="H357" s="1" t="str">
        <f t="shared" si="115"/>
        <v>India</v>
      </c>
      <c r="I357" s="1" t="str">
        <f t="shared" ca="1" si="116"/>
        <v>North</v>
      </c>
      <c r="J357" s="1" t="str">
        <f t="shared" ca="1" si="117"/>
        <v>Tamil Nadu</v>
      </c>
      <c r="K357" s="1" t="str">
        <f t="shared" ca="1" si="118"/>
        <v>Kolkata</v>
      </c>
      <c r="L357" s="1" t="str">
        <f t="shared" ca="1" si="119"/>
        <v>Furniture</v>
      </c>
      <c r="M357" s="1" t="str">
        <f t="shared" ca="1" si="120"/>
        <v>Laptop</v>
      </c>
      <c r="N357" s="1" t="str">
        <f t="shared" ca="1" si="121"/>
        <v>Samsung Galaxy</v>
      </c>
      <c r="O357" s="1">
        <f t="shared" ca="1" si="122"/>
        <v>55602</v>
      </c>
      <c r="P357" s="1">
        <f t="shared" ca="1" si="123"/>
        <v>8</v>
      </c>
      <c r="Q357" s="19">
        <f t="shared" ca="1" si="124"/>
        <v>0</v>
      </c>
      <c r="R357" s="1">
        <f t="shared" ca="1" si="125"/>
        <v>10008.359999999999</v>
      </c>
      <c r="S357" s="1">
        <f t="shared" ca="1" si="109"/>
        <v>4</v>
      </c>
      <c r="T357" s="19">
        <f t="shared" ca="1" si="110"/>
        <v>0.17999999999999997</v>
      </c>
      <c r="U357" s="1" t="str">
        <f t="shared" ca="1" si="111"/>
        <v>Low Discount</v>
      </c>
    </row>
    <row r="358" spans="1:21" ht="15.6" customHeight="1" x14ac:dyDescent="0.3">
      <c r="A358" s="1" t="str">
        <f t="shared" si="106"/>
        <v>ORD-357</v>
      </c>
      <c r="B358" s="10">
        <f t="shared" ca="1" si="107"/>
        <v>45579</v>
      </c>
      <c r="C358" s="7">
        <f t="shared" ca="1" si="108"/>
        <v>45581</v>
      </c>
      <c r="D358" s="1" t="str">
        <f t="shared" ca="1" si="126"/>
        <v>Second Class</v>
      </c>
      <c r="E358" s="1" t="str">
        <f t="shared" ca="1" si="112"/>
        <v>CU-277</v>
      </c>
      <c r="F358" s="1" t="str">
        <f t="shared" ca="1" si="113"/>
        <v>Arjun Malhotra</v>
      </c>
      <c r="G358" s="1" t="str">
        <f t="shared" ca="1" si="114"/>
        <v>Home Office</v>
      </c>
      <c r="H358" s="1" t="str">
        <f t="shared" si="115"/>
        <v>India</v>
      </c>
      <c r="I358" s="1" t="str">
        <f t="shared" ca="1" si="116"/>
        <v>South</v>
      </c>
      <c r="J358" s="1" t="str">
        <f t="shared" ca="1" si="117"/>
        <v>Maharashtra</v>
      </c>
      <c r="K358" s="1" t="str">
        <f t="shared" ca="1" si="118"/>
        <v>Bangalore</v>
      </c>
      <c r="L358" s="1" t="str">
        <f t="shared" ca="1" si="119"/>
        <v>Technology</v>
      </c>
      <c r="M358" s="1" t="str">
        <f t="shared" ca="1" si="120"/>
        <v>Chair</v>
      </c>
      <c r="N358" s="1" t="str">
        <f t="shared" ca="1" si="121"/>
        <v>Office Table</v>
      </c>
      <c r="O358" s="1">
        <f t="shared" ca="1" si="122"/>
        <v>23142</v>
      </c>
      <c r="P358" s="1">
        <f t="shared" ca="1" si="123"/>
        <v>9</v>
      </c>
      <c r="Q358" s="19">
        <f t="shared" ca="1" si="124"/>
        <v>0.3</v>
      </c>
      <c r="R358" s="1">
        <f t="shared" ca="1" si="125"/>
        <v>-2777.04</v>
      </c>
      <c r="S358" s="1">
        <f t="shared" ca="1" si="109"/>
        <v>2</v>
      </c>
      <c r="T358" s="19">
        <f t="shared" ca="1" si="110"/>
        <v>-0.12</v>
      </c>
      <c r="U358" s="1" t="str">
        <f t="shared" ca="1" si="111"/>
        <v>High Discount</v>
      </c>
    </row>
    <row r="359" spans="1:21" ht="15.6" customHeight="1" x14ac:dyDescent="0.3">
      <c r="A359" s="1" t="str">
        <f t="shared" si="106"/>
        <v>ORD-358</v>
      </c>
      <c r="B359" s="10">
        <f t="shared" ca="1" si="107"/>
        <v>45325</v>
      </c>
      <c r="C359" s="7">
        <f t="shared" ca="1" si="108"/>
        <v>45326</v>
      </c>
      <c r="D359" s="1" t="str">
        <f t="shared" ca="1" si="126"/>
        <v>Same Day</v>
      </c>
      <c r="E359" s="1" t="str">
        <f t="shared" ca="1" si="112"/>
        <v>CU-742</v>
      </c>
      <c r="F359" s="1" t="str">
        <f t="shared" ca="1" si="113"/>
        <v>Sunil Kumar</v>
      </c>
      <c r="G359" s="1" t="str">
        <f t="shared" ca="1" si="114"/>
        <v>Corporate</v>
      </c>
      <c r="H359" s="1" t="str">
        <f t="shared" si="115"/>
        <v>India</v>
      </c>
      <c r="I359" s="1" t="str">
        <f t="shared" ca="1" si="116"/>
        <v>West</v>
      </c>
      <c r="J359" s="1" t="str">
        <f t="shared" ca="1" si="117"/>
        <v>Gujarat</v>
      </c>
      <c r="K359" s="1" t="str">
        <f t="shared" ca="1" si="118"/>
        <v>Kolkata</v>
      </c>
      <c r="L359" s="1" t="str">
        <f t="shared" ca="1" si="119"/>
        <v>Office Supplies</v>
      </c>
      <c r="M359" s="1" t="str">
        <f t="shared" ca="1" si="120"/>
        <v>Chair</v>
      </c>
      <c r="N359" s="1" t="str">
        <f t="shared" ca="1" si="121"/>
        <v>HP Pavilion</v>
      </c>
      <c r="O359" s="1">
        <f t="shared" ca="1" si="122"/>
        <v>11560</v>
      </c>
      <c r="P359" s="1">
        <f t="shared" ca="1" si="123"/>
        <v>3</v>
      </c>
      <c r="Q359" s="19">
        <f t="shared" ca="1" si="124"/>
        <v>0.3</v>
      </c>
      <c r="R359" s="1">
        <f t="shared" ca="1" si="125"/>
        <v>-1387.2</v>
      </c>
      <c r="S359" s="1">
        <f t="shared" ca="1" si="109"/>
        <v>1</v>
      </c>
      <c r="T359" s="19">
        <f t="shared" ca="1" si="110"/>
        <v>-0.12000000000000001</v>
      </c>
      <c r="U359" s="1" t="str">
        <f t="shared" ca="1" si="111"/>
        <v>High Discount</v>
      </c>
    </row>
    <row r="360" spans="1:21" ht="15.6" customHeight="1" x14ac:dyDescent="0.3">
      <c r="A360" s="1" t="str">
        <f t="shared" si="106"/>
        <v>ORD-359</v>
      </c>
      <c r="B360" s="10">
        <f t="shared" ca="1" si="107"/>
        <v>45587</v>
      </c>
      <c r="C360" s="7">
        <f t="shared" ca="1" si="108"/>
        <v>45591</v>
      </c>
      <c r="D360" s="1" t="str">
        <f t="shared" ca="1" si="126"/>
        <v>Standard Class</v>
      </c>
      <c r="E360" s="1" t="str">
        <f t="shared" ca="1" si="112"/>
        <v>CU-700</v>
      </c>
      <c r="F360" s="1" t="str">
        <f t="shared" ca="1" si="113"/>
        <v>Rahul Sharma</v>
      </c>
      <c r="G360" s="1" t="str">
        <f t="shared" ca="1" si="114"/>
        <v>Corporate</v>
      </c>
      <c r="H360" s="1" t="str">
        <f t="shared" si="115"/>
        <v>India</v>
      </c>
      <c r="I360" s="1" t="str">
        <f t="shared" ca="1" si="116"/>
        <v>North</v>
      </c>
      <c r="J360" s="1" t="str">
        <f t="shared" ca="1" si="117"/>
        <v>West Bengal</v>
      </c>
      <c r="K360" s="1" t="str">
        <f t="shared" ca="1" si="118"/>
        <v>Kolkata</v>
      </c>
      <c r="L360" s="1" t="str">
        <f t="shared" ca="1" si="119"/>
        <v>Office Supplies</v>
      </c>
      <c r="M360" s="1" t="str">
        <f t="shared" ca="1" si="120"/>
        <v>Mobile</v>
      </c>
      <c r="N360" s="1" t="str">
        <f t="shared" ca="1" si="121"/>
        <v>A4 Paper</v>
      </c>
      <c r="O360" s="1">
        <f t="shared" ca="1" si="122"/>
        <v>39675</v>
      </c>
      <c r="P360" s="1">
        <f t="shared" ca="1" si="123"/>
        <v>1</v>
      </c>
      <c r="Q360" s="19">
        <f t="shared" ca="1" si="124"/>
        <v>0</v>
      </c>
      <c r="R360" s="1">
        <f t="shared" ca="1" si="125"/>
        <v>7141.5</v>
      </c>
      <c r="S360" s="1">
        <f t="shared" ca="1" si="109"/>
        <v>4</v>
      </c>
      <c r="T360" s="19">
        <f t="shared" ca="1" si="110"/>
        <v>0.18</v>
      </c>
      <c r="U360" s="1" t="str">
        <f t="shared" ca="1" si="111"/>
        <v>Low Discount</v>
      </c>
    </row>
    <row r="361" spans="1:21" ht="15.6" customHeight="1" x14ac:dyDescent="0.3">
      <c r="A361" s="1" t="str">
        <f t="shared" si="106"/>
        <v>ORD-360</v>
      </c>
      <c r="B361" s="10">
        <f t="shared" ca="1" si="107"/>
        <v>45330</v>
      </c>
      <c r="C361" s="7">
        <f t="shared" ca="1" si="108"/>
        <v>45334</v>
      </c>
      <c r="D361" s="1" t="str">
        <f t="shared" ca="1" si="126"/>
        <v>Standard Class</v>
      </c>
      <c r="E361" s="1" t="str">
        <f t="shared" ca="1" si="112"/>
        <v>CU-734</v>
      </c>
      <c r="F361" s="1" t="str">
        <f t="shared" ca="1" si="113"/>
        <v>Ravi Mehta</v>
      </c>
      <c r="G361" s="1" t="str">
        <f t="shared" ca="1" si="114"/>
        <v>Corporate</v>
      </c>
      <c r="H361" s="1" t="str">
        <f t="shared" si="115"/>
        <v>India</v>
      </c>
      <c r="I361" s="1" t="str">
        <f t="shared" ca="1" si="116"/>
        <v>East</v>
      </c>
      <c r="J361" s="1" t="str">
        <f t="shared" ca="1" si="117"/>
        <v>Delhi</v>
      </c>
      <c r="K361" s="1" t="str">
        <f t="shared" ca="1" si="118"/>
        <v>Delhi</v>
      </c>
      <c r="L361" s="1" t="str">
        <f t="shared" ca="1" si="119"/>
        <v>Technology</v>
      </c>
      <c r="M361" s="1" t="str">
        <f t="shared" ca="1" si="120"/>
        <v>Chair</v>
      </c>
      <c r="N361" s="1" t="str">
        <f t="shared" ca="1" si="121"/>
        <v>Office Chair</v>
      </c>
      <c r="O361" s="1">
        <f t="shared" ca="1" si="122"/>
        <v>18235</v>
      </c>
      <c r="P361" s="1">
        <f t="shared" ca="1" si="123"/>
        <v>6</v>
      </c>
      <c r="Q361" s="19">
        <f t="shared" ca="1" si="124"/>
        <v>0.1</v>
      </c>
      <c r="R361" s="1">
        <f t="shared" ca="1" si="125"/>
        <v>1458.7999999999997</v>
      </c>
      <c r="S361" s="1">
        <f t="shared" ca="1" si="109"/>
        <v>4</v>
      </c>
      <c r="T361" s="19">
        <f t="shared" ca="1" si="110"/>
        <v>7.9999999999999988E-2</v>
      </c>
      <c r="U361" s="1" t="str">
        <f t="shared" ca="1" si="111"/>
        <v>Low Discount</v>
      </c>
    </row>
    <row r="362" spans="1:21" ht="15.6" customHeight="1" x14ac:dyDescent="0.3">
      <c r="A362" s="1" t="str">
        <f t="shared" si="106"/>
        <v>ORD-361</v>
      </c>
      <c r="B362" s="10">
        <f t="shared" ca="1" si="107"/>
        <v>45361</v>
      </c>
      <c r="C362" s="7">
        <f t="shared" ca="1" si="108"/>
        <v>45363</v>
      </c>
      <c r="D362" s="1" t="str">
        <f t="shared" ca="1" si="126"/>
        <v>Standard Class</v>
      </c>
      <c r="E362" s="1" t="str">
        <f t="shared" ca="1" si="112"/>
        <v>CU-810</v>
      </c>
      <c r="F362" s="1" t="str">
        <f t="shared" ca="1" si="113"/>
        <v>Ravi Mehta</v>
      </c>
      <c r="G362" s="1" t="str">
        <f t="shared" ca="1" si="114"/>
        <v>Consumer</v>
      </c>
      <c r="H362" s="1" t="str">
        <f t="shared" si="115"/>
        <v>India</v>
      </c>
      <c r="I362" s="1" t="str">
        <f t="shared" ca="1" si="116"/>
        <v>West</v>
      </c>
      <c r="J362" s="1" t="str">
        <f t="shared" ca="1" si="117"/>
        <v>Delhi</v>
      </c>
      <c r="K362" s="1" t="str">
        <f t="shared" ca="1" si="118"/>
        <v>Ahmedabad</v>
      </c>
      <c r="L362" s="1" t="str">
        <f t="shared" ca="1" si="119"/>
        <v>Furniture</v>
      </c>
      <c r="M362" s="1" t="str">
        <f t="shared" ca="1" si="120"/>
        <v>Mobile</v>
      </c>
      <c r="N362" s="1" t="str">
        <f t="shared" ca="1" si="121"/>
        <v>A4 Paper</v>
      </c>
      <c r="O362" s="1">
        <f t="shared" ca="1" si="122"/>
        <v>32074</v>
      </c>
      <c r="P362" s="1">
        <f t="shared" ca="1" si="123"/>
        <v>3</v>
      </c>
      <c r="Q362" s="19">
        <f t="shared" ca="1" si="124"/>
        <v>0.05</v>
      </c>
      <c r="R362" s="1">
        <f t="shared" ca="1" si="125"/>
        <v>4169.62</v>
      </c>
      <c r="S362" s="1">
        <f t="shared" ca="1" si="109"/>
        <v>2</v>
      </c>
      <c r="T362" s="19">
        <f t="shared" ca="1" si="110"/>
        <v>0.13</v>
      </c>
      <c r="U362" s="1" t="str">
        <f t="shared" ca="1" si="111"/>
        <v>Low Discount</v>
      </c>
    </row>
    <row r="363" spans="1:21" ht="15.6" customHeight="1" x14ac:dyDescent="0.3">
      <c r="A363" s="1" t="str">
        <f t="shared" si="106"/>
        <v>ORD-362</v>
      </c>
      <c r="B363" s="10">
        <f t="shared" ca="1" si="107"/>
        <v>45487</v>
      </c>
      <c r="C363" s="7">
        <f t="shared" ca="1" si="108"/>
        <v>45488</v>
      </c>
      <c r="D363" s="1" t="str">
        <f t="shared" ca="1" si="126"/>
        <v>Second Class</v>
      </c>
      <c r="E363" s="1" t="str">
        <f t="shared" ca="1" si="112"/>
        <v>CU-565</v>
      </c>
      <c r="F363" s="1" t="str">
        <f t="shared" ca="1" si="113"/>
        <v>Priya Singh</v>
      </c>
      <c r="G363" s="1" t="str">
        <f t="shared" ca="1" si="114"/>
        <v>Home Office</v>
      </c>
      <c r="H363" s="1" t="str">
        <f t="shared" si="115"/>
        <v>India</v>
      </c>
      <c r="I363" s="1" t="str">
        <f t="shared" ca="1" si="116"/>
        <v>South</v>
      </c>
      <c r="J363" s="1" t="str">
        <f t="shared" ca="1" si="117"/>
        <v>Gujarat</v>
      </c>
      <c r="K363" s="1" t="str">
        <f t="shared" ca="1" si="118"/>
        <v>Chennai</v>
      </c>
      <c r="L363" s="1" t="str">
        <f t="shared" ca="1" si="119"/>
        <v>Office Supplies</v>
      </c>
      <c r="M363" s="1" t="str">
        <f t="shared" ca="1" si="120"/>
        <v>Laptop</v>
      </c>
      <c r="N363" s="1" t="str">
        <f t="shared" ca="1" si="121"/>
        <v>HP Pavilion</v>
      </c>
      <c r="O363" s="1">
        <f t="shared" ca="1" si="122"/>
        <v>41105</v>
      </c>
      <c r="P363" s="1">
        <f t="shared" ca="1" si="123"/>
        <v>7</v>
      </c>
      <c r="Q363" s="19">
        <f t="shared" ca="1" si="124"/>
        <v>0</v>
      </c>
      <c r="R363" s="1">
        <f t="shared" ca="1" si="125"/>
        <v>7398.9</v>
      </c>
      <c r="S363" s="1">
        <f t="shared" ca="1" si="109"/>
        <v>1</v>
      </c>
      <c r="T363" s="19">
        <f t="shared" ca="1" si="110"/>
        <v>0.18</v>
      </c>
      <c r="U363" s="1" t="str">
        <f t="shared" ca="1" si="111"/>
        <v>Low Discount</v>
      </c>
    </row>
    <row r="364" spans="1:21" ht="15.6" customHeight="1" x14ac:dyDescent="0.3">
      <c r="A364" s="1" t="str">
        <f t="shared" si="106"/>
        <v>ORD-363</v>
      </c>
      <c r="B364" s="10">
        <f t="shared" ca="1" si="107"/>
        <v>45427</v>
      </c>
      <c r="C364" s="7">
        <f t="shared" ca="1" si="108"/>
        <v>45431</v>
      </c>
      <c r="D364" s="1" t="str">
        <f t="shared" ca="1" si="126"/>
        <v>Standard Class</v>
      </c>
      <c r="E364" s="1" t="str">
        <f t="shared" ca="1" si="112"/>
        <v>CU-943</v>
      </c>
      <c r="F364" s="1" t="str">
        <f t="shared" ca="1" si="113"/>
        <v>Arjun Malhotra</v>
      </c>
      <c r="G364" s="1" t="str">
        <f t="shared" ca="1" si="114"/>
        <v>Corporate</v>
      </c>
      <c r="H364" s="1" t="str">
        <f t="shared" si="115"/>
        <v>India</v>
      </c>
      <c r="I364" s="1" t="str">
        <f t="shared" ca="1" si="116"/>
        <v>South</v>
      </c>
      <c r="J364" s="1" t="str">
        <f t="shared" ca="1" si="117"/>
        <v>Gujarat</v>
      </c>
      <c r="K364" s="1" t="str">
        <f t="shared" ca="1" si="118"/>
        <v>Ahmedabad</v>
      </c>
      <c r="L364" s="1" t="str">
        <f t="shared" ca="1" si="119"/>
        <v>Technology</v>
      </c>
      <c r="M364" s="1" t="str">
        <f t="shared" ca="1" si="120"/>
        <v>Laptop</v>
      </c>
      <c r="N364" s="1" t="str">
        <f t="shared" ca="1" si="121"/>
        <v>A4 Paper</v>
      </c>
      <c r="O364" s="1">
        <f t="shared" ca="1" si="122"/>
        <v>56840</v>
      </c>
      <c r="P364" s="1">
        <f t="shared" ca="1" si="123"/>
        <v>5</v>
      </c>
      <c r="Q364" s="19">
        <f t="shared" ca="1" si="124"/>
        <v>0.2</v>
      </c>
      <c r="R364" s="1">
        <f t="shared" ca="1" si="125"/>
        <v>-1136.8000000000011</v>
      </c>
      <c r="S364" s="1">
        <f t="shared" ca="1" si="109"/>
        <v>4</v>
      </c>
      <c r="T364" s="19">
        <f t="shared" ca="1" si="110"/>
        <v>-2.0000000000000018E-2</v>
      </c>
      <c r="U364" s="1" t="str">
        <f t="shared" ca="1" si="111"/>
        <v>High Discount</v>
      </c>
    </row>
    <row r="365" spans="1:21" ht="15.6" customHeight="1" x14ac:dyDescent="0.3">
      <c r="A365" s="1" t="str">
        <f t="shared" si="106"/>
        <v>ORD-364</v>
      </c>
      <c r="B365" s="10">
        <f t="shared" ca="1" si="107"/>
        <v>45512</v>
      </c>
      <c r="C365" s="7">
        <f t="shared" ca="1" si="108"/>
        <v>45512</v>
      </c>
      <c r="D365" s="1" t="str">
        <f t="shared" ca="1" si="126"/>
        <v>Standard Class</v>
      </c>
      <c r="E365" s="1" t="str">
        <f t="shared" ca="1" si="112"/>
        <v>CU-499</v>
      </c>
      <c r="F365" s="1" t="str">
        <f t="shared" ca="1" si="113"/>
        <v>Pooja Yadav</v>
      </c>
      <c r="G365" s="1" t="str">
        <f t="shared" ca="1" si="114"/>
        <v>Corporate</v>
      </c>
      <c r="H365" s="1" t="str">
        <f t="shared" si="115"/>
        <v>India</v>
      </c>
      <c r="I365" s="1" t="str">
        <f t="shared" ca="1" si="116"/>
        <v>North</v>
      </c>
      <c r="J365" s="1" t="str">
        <f t="shared" ca="1" si="117"/>
        <v>Tamil Nadu</v>
      </c>
      <c r="K365" s="1" t="str">
        <f t="shared" ca="1" si="118"/>
        <v>Ahmedabad</v>
      </c>
      <c r="L365" s="1" t="str">
        <f t="shared" ca="1" si="119"/>
        <v>Furniture</v>
      </c>
      <c r="M365" s="1" t="str">
        <f t="shared" ca="1" si="120"/>
        <v>Paper</v>
      </c>
      <c r="N365" s="1" t="str">
        <f t="shared" ca="1" si="121"/>
        <v>Office Table</v>
      </c>
      <c r="O365" s="1">
        <f t="shared" ca="1" si="122"/>
        <v>57483</v>
      </c>
      <c r="P365" s="1">
        <f t="shared" ca="1" si="123"/>
        <v>1</v>
      </c>
      <c r="Q365" s="19">
        <f t="shared" ca="1" si="124"/>
        <v>0.3</v>
      </c>
      <c r="R365" s="1">
        <f t="shared" ca="1" si="125"/>
        <v>-6897.96</v>
      </c>
      <c r="S365" s="1">
        <f t="shared" ca="1" si="109"/>
        <v>0</v>
      </c>
      <c r="T365" s="19">
        <f t="shared" ca="1" si="110"/>
        <v>-0.12</v>
      </c>
      <c r="U365" s="1" t="str">
        <f t="shared" ca="1" si="111"/>
        <v>High Discount</v>
      </c>
    </row>
    <row r="366" spans="1:21" ht="15.6" customHeight="1" x14ac:dyDescent="0.3">
      <c r="A366" s="1" t="str">
        <f t="shared" si="106"/>
        <v>ORD-365</v>
      </c>
      <c r="B366" s="10">
        <f t="shared" ca="1" si="107"/>
        <v>45561</v>
      </c>
      <c r="C366" s="7">
        <f t="shared" ca="1" si="108"/>
        <v>45563</v>
      </c>
      <c r="D366" s="1" t="str">
        <f t="shared" ca="1" si="126"/>
        <v>Same Day</v>
      </c>
      <c r="E366" s="1" t="str">
        <f t="shared" ca="1" si="112"/>
        <v>CU-111</v>
      </c>
      <c r="F366" s="1" t="str">
        <f t="shared" ca="1" si="113"/>
        <v>Pooja Yadav</v>
      </c>
      <c r="G366" s="1" t="str">
        <f t="shared" ca="1" si="114"/>
        <v>Home Office</v>
      </c>
      <c r="H366" s="1" t="str">
        <f t="shared" si="115"/>
        <v>India</v>
      </c>
      <c r="I366" s="1" t="str">
        <f t="shared" ca="1" si="116"/>
        <v>South</v>
      </c>
      <c r="J366" s="1" t="str">
        <f t="shared" ca="1" si="117"/>
        <v>Maharashtra</v>
      </c>
      <c r="K366" s="1" t="str">
        <f t="shared" ca="1" si="118"/>
        <v>Bangalore</v>
      </c>
      <c r="L366" s="1" t="str">
        <f t="shared" ca="1" si="119"/>
        <v>Furniture</v>
      </c>
      <c r="M366" s="1" t="str">
        <f t="shared" ca="1" si="120"/>
        <v>Mobile</v>
      </c>
      <c r="N366" s="1" t="str">
        <f t="shared" ca="1" si="121"/>
        <v>Samsung Galaxy</v>
      </c>
      <c r="O366" s="1">
        <f t="shared" ca="1" si="122"/>
        <v>15068</v>
      </c>
      <c r="P366" s="1">
        <f t="shared" ca="1" si="123"/>
        <v>7</v>
      </c>
      <c r="Q366" s="19">
        <f t="shared" ca="1" si="124"/>
        <v>0.3</v>
      </c>
      <c r="R366" s="1">
        <f t="shared" ca="1" si="125"/>
        <v>-1808.1599999999999</v>
      </c>
      <c r="S366" s="1">
        <f t="shared" ca="1" si="109"/>
        <v>2</v>
      </c>
      <c r="T366" s="19">
        <f t="shared" ca="1" si="110"/>
        <v>-0.12</v>
      </c>
      <c r="U366" s="1" t="str">
        <f t="shared" ca="1" si="111"/>
        <v>High Discount</v>
      </c>
    </row>
    <row r="367" spans="1:21" ht="15.6" customHeight="1" x14ac:dyDescent="0.3">
      <c r="A367" s="1" t="str">
        <f t="shared" si="106"/>
        <v>ORD-366</v>
      </c>
      <c r="B367" s="10">
        <f t="shared" ca="1" si="107"/>
        <v>45416</v>
      </c>
      <c r="C367" s="7">
        <f t="shared" ca="1" si="108"/>
        <v>45420</v>
      </c>
      <c r="D367" s="1" t="str">
        <f t="shared" ca="1" si="126"/>
        <v>Standard Class</v>
      </c>
      <c r="E367" s="1" t="str">
        <f t="shared" ca="1" si="112"/>
        <v>CU-845</v>
      </c>
      <c r="F367" s="1" t="str">
        <f t="shared" ca="1" si="113"/>
        <v>Pooja Yadav</v>
      </c>
      <c r="G367" s="1" t="str">
        <f t="shared" ca="1" si="114"/>
        <v>Consumer</v>
      </c>
      <c r="H367" s="1" t="str">
        <f t="shared" si="115"/>
        <v>India</v>
      </c>
      <c r="I367" s="1" t="str">
        <f t="shared" ca="1" si="116"/>
        <v>West</v>
      </c>
      <c r="J367" s="1" t="str">
        <f t="shared" ca="1" si="117"/>
        <v>West Bengal</v>
      </c>
      <c r="K367" s="1" t="str">
        <f t="shared" ca="1" si="118"/>
        <v>Chennai</v>
      </c>
      <c r="L367" s="1" t="str">
        <f t="shared" ca="1" si="119"/>
        <v>Furniture</v>
      </c>
      <c r="M367" s="1" t="str">
        <f t="shared" ca="1" si="120"/>
        <v>Table</v>
      </c>
      <c r="N367" s="1" t="str">
        <f t="shared" ca="1" si="121"/>
        <v>HP Pavilion</v>
      </c>
      <c r="O367" s="1">
        <f t="shared" ca="1" si="122"/>
        <v>6652</v>
      </c>
      <c r="P367" s="1">
        <f t="shared" ca="1" si="123"/>
        <v>1</v>
      </c>
      <c r="Q367" s="19">
        <f t="shared" ca="1" si="124"/>
        <v>0.1</v>
      </c>
      <c r="R367" s="1">
        <f t="shared" ca="1" si="125"/>
        <v>532.16</v>
      </c>
      <c r="S367" s="1">
        <f t="shared" ca="1" si="109"/>
        <v>4</v>
      </c>
      <c r="T367" s="19">
        <f t="shared" ca="1" si="110"/>
        <v>0.08</v>
      </c>
      <c r="U367" s="1" t="str">
        <f t="shared" ca="1" si="111"/>
        <v>Low Discount</v>
      </c>
    </row>
    <row r="368" spans="1:21" ht="15.6" customHeight="1" x14ac:dyDescent="0.3">
      <c r="A368" s="1" t="str">
        <f t="shared" si="106"/>
        <v>ORD-367</v>
      </c>
      <c r="B368" s="10">
        <f t="shared" ca="1" si="107"/>
        <v>45648</v>
      </c>
      <c r="C368" s="7">
        <f t="shared" ca="1" si="108"/>
        <v>45650</v>
      </c>
      <c r="D368" s="1" t="str">
        <f t="shared" ca="1" si="126"/>
        <v>Same Day</v>
      </c>
      <c r="E368" s="1" t="str">
        <f t="shared" ca="1" si="112"/>
        <v>CU-689</v>
      </c>
      <c r="F368" s="1" t="str">
        <f t="shared" ca="1" si="113"/>
        <v>Sunil Kumar</v>
      </c>
      <c r="G368" s="1" t="str">
        <f t="shared" ca="1" si="114"/>
        <v>Home Office</v>
      </c>
      <c r="H368" s="1" t="str">
        <f t="shared" si="115"/>
        <v>India</v>
      </c>
      <c r="I368" s="1" t="str">
        <f t="shared" ca="1" si="116"/>
        <v>West</v>
      </c>
      <c r="J368" s="1" t="str">
        <f t="shared" ca="1" si="117"/>
        <v>West Bengal</v>
      </c>
      <c r="K368" s="1" t="str">
        <f t="shared" ca="1" si="118"/>
        <v>Bangalore</v>
      </c>
      <c r="L368" s="1" t="str">
        <f t="shared" ca="1" si="119"/>
        <v>Technology</v>
      </c>
      <c r="M368" s="1" t="str">
        <f t="shared" ca="1" si="120"/>
        <v>Paper</v>
      </c>
      <c r="N368" s="1" t="str">
        <f t="shared" ca="1" si="121"/>
        <v>Office Table</v>
      </c>
      <c r="O368" s="1">
        <f t="shared" ca="1" si="122"/>
        <v>45656</v>
      </c>
      <c r="P368" s="1">
        <f t="shared" ca="1" si="123"/>
        <v>9</v>
      </c>
      <c r="Q368" s="19">
        <f t="shared" ca="1" si="124"/>
        <v>0.1</v>
      </c>
      <c r="R368" s="1">
        <f t="shared" ca="1" si="125"/>
        <v>3652.4799999999996</v>
      </c>
      <c r="S368" s="1">
        <f t="shared" ca="1" si="109"/>
        <v>2</v>
      </c>
      <c r="T368" s="19">
        <f t="shared" ca="1" si="110"/>
        <v>7.9999999999999988E-2</v>
      </c>
      <c r="U368" s="1" t="str">
        <f t="shared" ca="1" si="111"/>
        <v>Low Discount</v>
      </c>
    </row>
    <row r="369" spans="1:21" ht="15.6" customHeight="1" x14ac:dyDescent="0.3">
      <c r="A369" s="1" t="str">
        <f t="shared" si="106"/>
        <v>ORD-368</v>
      </c>
      <c r="B369" s="10">
        <f t="shared" ca="1" si="107"/>
        <v>45557</v>
      </c>
      <c r="C369" s="7">
        <f t="shared" ca="1" si="108"/>
        <v>45558</v>
      </c>
      <c r="D369" s="1" t="str">
        <f t="shared" ca="1" si="126"/>
        <v>Standard Class</v>
      </c>
      <c r="E369" s="1" t="str">
        <f t="shared" ca="1" si="112"/>
        <v>CU-553</v>
      </c>
      <c r="F369" s="1" t="str">
        <f t="shared" ca="1" si="113"/>
        <v>Amit Verma</v>
      </c>
      <c r="G369" s="1" t="str">
        <f t="shared" ca="1" si="114"/>
        <v>Home Office</v>
      </c>
      <c r="H369" s="1" t="str">
        <f t="shared" si="115"/>
        <v>India</v>
      </c>
      <c r="I369" s="1" t="str">
        <f t="shared" ca="1" si="116"/>
        <v>North</v>
      </c>
      <c r="J369" s="1" t="str">
        <f t="shared" ca="1" si="117"/>
        <v>West Bengal</v>
      </c>
      <c r="K369" s="1" t="str">
        <f t="shared" ca="1" si="118"/>
        <v>Kolkata</v>
      </c>
      <c r="L369" s="1" t="str">
        <f t="shared" ca="1" si="119"/>
        <v>Office Supplies</v>
      </c>
      <c r="M369" s="1" t="str">
        <f t="shared" ca="1" si="120"/>
        <v>Table</v>
      </c>
      <c r="N369" s="1" t="str">
        <f t="shared" ca="1" si="121"/>
        <v>Office Chair</v>
      </c>
      <c r="O369" s="1">
        <f t="shared" ca="1" si="122"/>
        <v>36060</v>
      </c>
      <c r="P369" s="1">
        <f t="shared" ca="1" si="123"/>
        <v>7</v>
      </c>
      <c r="Q369" s="19">
        <f t="shared" ca="1" si="124"/>
        <v>0.1</v>
      </c>
      <c r="R369" s="1">
        <f t="shared" ca="1" si="125"/>
        <v>2884.7999999999997</v>
      </c>
      <c r="S369" s="1">
        <f t="shared" ca="1" si="109"/>
        <v>1</v>
      </c>
      <c r="T369" s="19">
        <f t="shared" ca="1" si="110"/>
        <v>7.9999999999999988E-2</v>
      </c>
      <c r="U369" s="1" t="str">
        <f t="shared" ca="1" si="111"/>
        <v>Low Discount</v>
      </c>
    </row>
    <row r="370" spans="1:21" ht="15.6" customHeight="1" x14ac:dyDescent="0.3">
      <c r="A370" s="1" t="str">
        <f t="shared" si="106"/>
        <v>ORD-369</v>
      </c>
      <c r="B370" s="10">
        <f t="shared" ca="1" si="107"/>
        <v>45535</v>
      </c>
      <c r="C370" s="7">
        <f t="shared" ca="1" si="108"/>
        <v>45540</v>
      </c>
      <c r="D370" s="1" t="str">
        <f t="shared" ca="1" si="126"/>
        <v>Same Day</v>
      </c>
      <c r="E370" s="1" t="str">
        <f t="shared" ca="1" si="112"/>
        <v>CU-956</v>
      </c>
      <c r="F370" s="1" t="str">
        <f t="shared" ca="1" si="113"/>
        <v>Priya Singh</v>
      </c>
      <c r="G370" s="1" t="str">
        <f t="shared" ca="1" si="114"/>
        <v>Corporate</v>
      </c>
      <c r="H370" s="1" t="str">
        <f t="shared" si="115"/>
        <v>India</v>
      </c>
      <c r="I370" s="1" t="str">
        <f t="shared" ca="1" si="116"/>
        <v>South</v>
      </c>
      <c r="J370" s="1" t="str">
        <f t="shared" ca="1" si="117"/>
        <v>Karnataka</v>
      </c>
      <c r="K370" s="1" t="str">
        <f t="shared" ca="1" si="118"/>
        <v>Mumbai</v>
      </c>
      <c r="L370" s="1" t="str">
        <f t="shared" ca="1" si="119"/>
        <v>Office Supplies</v>
      </c>
      <c r="M370" s="1" t="str">
        <f t="shared" ca="1" si="120"/>
        <v>Laptop</v>
      </c>
      <c r="N370" s="1" t="str">
        <f t="shared" ca="1" si="121"/>
        <v>Samsung Galaxy</v>
      </c>
      <c r="O370" s="1">
        <f t="shared" ca="1" si="122"/>
        <v>49419</v>
      </c>
      <c r="P370" s="1">
        <f t="shared" ca="1" si="123"/>
        <v>8</v>
      </c>
      <c r="Q370" s="19">
        <f t="shared" ca="1" si="124"/>
        <v>0.3</v>
      </c>
      <c r="R370" s="1">
        <f t="shared" ca="1" si="125"/>
        <v>-5930.28</v>
      </c>
      <c r="S370" s="1">
        <f t="shared" ca="1" si="109"/>
        <v>5</v>
      </c>
      <c r="T370" s="19">
        <f t="shared" ca="1" si="110"/>
        <v>-0.12</v>
      </c>
      <c r="U370" s="1" t="str">
        <f t="shared" ca="1" si="111"/>
        <v>High Discount</v>
      </c>
    </row>
    <row r="371" spans="1:21" ht="15.6" customHeight="1" x14ac:dyDescent="0.3">
      <c r="A371" s="1" t="str">
        <f t="shared" si="106"/>
        <v>ORD-370</v>
      </c>
      <c r="B371" s="10">
        <f t="shared" ca="1" si="107"/>
        <v>45600</v>
      </c>
      <c r="C371" s="7">
        <f t="shared" ca="1" si="108"/>
        <v>45601</v>
      </c>
      <c r="D371" s="1" t="str">
        <f t="shared" ca="1" si="126"/>
        <v>Standard Class</v>
      </c>
      <c r="E371" s="1" t="str">
        <f t="shared" ca="1" si="112"/>
        <v>CU-917</v>
      </c>
      <c r="F371" s="1" t="str">
        <f t="shared" ca="1" si="113"/>
        <v>Priya Singh</v>
      </c>
      <c r="G371" s="1" t="str">
        <f t="shared" ca="1" si="114"/>
        <v>Home Office</v>
      </c>
      <c r="H371" s="1" t="str">
        <f t="shared" si="115"/>
        <v>India</v>
      </c>
      <c r="I371" s="1" t="str">
        <f t="shared" ca="1" si="116"/>
        <v>North</v>
      </c>
      <c r="J371" s="1" t="str">
        <f t="shared" ca="1" si="117"/>
        <v>Tamil Nadu</v>
      </c>
      <c r="K371" s="1" t="str">
        <f t="shared" ca="1" si="118"/>
        <v>Mumbai</v>
      </c>
      <c r="L371" s="1" t="str">
        <f t="shared" ca="1" si="119"/>
        <v>Office Supplies</v>
      </c>
      <c r="M371" s="1" t="str">
        <f t="shared" ca="1" si="120"/>
        <v>Mobile</v>
      </c>
      <c r="N371" s="1" t="str">
        <f t="shared" ca="1" si="121"/>
        <v>A4 Paper</v>
      </c>
      <c r="O371" s="1">
        <f t="shared" ca="1" si="122"/>
        <v>21302</v>
      </c>
      <c r="P371" s="1">
        <f t="shared" ca="1" si="123"/>
        <v>3</v>
      </c>
      <c r="Q371" s="19">
        <f t="shared" ca="1" si="124"/>
        <v>0.05</v>
      </c>
      <c r="R371" s="1">
        <f t="shared" ca="1" si="125"/>
        <v>2769.26</v>
      </c>
      <c r="S371" s="1">
        <f t="shared" ca="1" si="109"/>
        <v>1</v>
      </c>
      <c r="T371" s="19">
        <f t="shared" ca="1" si="110"/>
        <v>0.13</v>
      </c>
      <c r="U371" s="1" t="str">
        <f t="shared" ca="1" si="111"/>
        <v>Low Discount</v>
      </c>
    </row>
    <row r="372" spans="1:21" ht="15.6" customHeight="1" x14ac:dyDescent="0.3">
      <c r="A372" s="1" t="str">
        <f t="shared" si="106"/>
        <v>ORD-371</v>
      </c>
      <c r="B372" s="10">
        <f t="shared" ca="1" si="107"/>
        <v>45354</v>
      </c>
      <c r="C372" s="7">
        <f t="shared" ca="1" si="108"/>
        <v>45354</v>
      </c>
      <c r="D372" s="1" t="str">
        <f t="shared" ca="1" si="126"/>
        <v>Second Class</v>
      </c>
      <c r="E372" s="1" t="str">
        <f t="shared" ca="1" si="112"/>
        <v>CU-257</v>
      </c>
      <c r="F372" s="1" t="str">
        <f t="shared" ca="1" si="113"/>
        <v>Priya Singh</v>
      </c>
      <c r="G372" s="1" t="str">
        <f t="shared" ca="1" si="114"/>
        <v>Consumer</v>
      </c>
      <c r="H372" s="1" t="str">
        <f t="shared" si="115"/>
        <v>India</v>
      </c>
      <c r="I372" s="1" t="str">
        <f t="shared" ca="1" si="116"/>
        <v>South</v>
      </c>
      <c r="J372" s="1" t="str">
        <f t="shared" ca="1" si="117"/>
        <v>Karnataka</v>
      </c>
      <c r="K372" s="1" t="str">
        <f t="shared" ca="1" si="118"/>
        <v>Chennai</v>
      </c>
      <c r="L372" s="1" t="str">
        <f t="shared" ca="1" si="119"/>
        <v>Office Supplies</v>
      </c>
      <c r="M372" s="1" t="str">
        <f t="shared" ca="1" si="120"/>
        <v>Paper</v>
      </c>
      <c r="N372" s="1" t="str">
        <f t="shared" ca="1" si="121"/>
        <v>Samsung Galaxy</v>
      </c>
      <c r="O372" s="1">
        <f t="shared" ca="1" si="122"/>
        <v>39400</v>
      </c>
      <c r="P372" s="1">
        <f t="shared" ca="1" si="123"/>
        <v>3</v>
      </c>
      <c r="Q372" s="19">
        <f t="shared" ca="1" si="124"/>
        <v>0.1</v>
      </c>
      <c r="R372" s="1">
        <f t="shared" ca="1" si="125"/>
        <v>3151.9999999999995</v>
      </c>
      <c r="S372" s="1">
        <f t="shared" ca="1" si="109"/>
        <v>0</v>
      </c>
      <c r="T372" s="19">
        <f t="shared" ca="1" si="110"/>
        <v>7.9999999999999988E-2</v>
      </c>
      <c r="U372" s="1" t="str">
        <f t="shared" ca="1" si="111"/>
        <v>Low Discount</v>
      </c>
    </row>
    <row r="373" spans="1:21" ht="15.6" customHeight="1" x14ac:dyDescent="0.3">
      <c r="A373" s="1" t="str">
        <f t="shared" si="106"/>
        <v>ORD-372</v>
      </c>
      <c r="B373" s="10">
        <f t="shared" ca="1" si="107"/>
        <v>45368</v>
      </c>
      <c r="C373" s="7">
        <f t="shared" ca="1" si="108"/>
        <v>45369</v>
      </c>
      <c r="D373" s="1" t="str">
        <f t="shared" ca="1" si="126"/>
        <v>Standard Class</v>
      </c>
      <c r="E373" s="1" t="str">
        <f t="shared" ca="1" si="112"/>
        <v>CU-836</v>
      </c>
      <c r="F373" s="1" t="str">
        <f t="shared" ca="1" si="113"/>
        <v>Rahul Sharma</v>
      </c>
      <c r="G373" s="1" t="str">
        <f t="shared" ca="1" si="114"/>
        <v>Corporate</v>
      </c>
      <c r="H373" s="1" t="str">
        <f t="shared" si="115"/>
        <v>India</v>
      </c>
      <c r="I373" s="1" t="str">
        <f t="shared" ca="1" si="116"/>
        <v>West</v>
      </c>
      <c r="J373" s="1" t="str">
        <f t="shared" ca="1" si="117"/>
        <v>West Bengal</v>
      </c>
      <c r="K373" s="1" t="str">
        <f t="shared" ca="1" si="118"/>
        <v>Ahmedabad</v>
      </c>
      <c r="L373" s="1" t="str">
        <f t="shared" ca="1" si="119"/>
        <v>Technology</v>
      </c>
      <c r="M373" s="1" t="str">
        <f t="shared" ca="1" si="120"/>
        <v>Mobile</v>
      </c>
      <c r="N373" s="1" t="str">
        <f t="shared" ca="1" si="121"/>
        <v>Office Chair</v>
      </c>
      <c r="O373" s="1">
        <f t="shared" ca="1" si="122"/>
        <v>36920</v>
      </c>
      <c r="P373" s="1">
        <f t="shared" ca="1" si="123"/>
        <v>5</v>
      </c>
      <c r="Q373" s="19">
        <f t="shared" ca="1" si="124"/>
        <v>0.3</v>
      </c>
      <c r="R373" s="1">
        <f t="shared" ca="1" si="125"/>
        <v>-4430.3999999999996</v>
      </c>
      <c r="S373" s="1">
        <f t="shared" ca="1" si="109"/>
        <v>1</v>
      </c>
      <c r="T373" s="19">
        <f t="shared" ca="1" si="110"/>
        <v>-0.12</v>
      </c>
      <c r="U373" s="1" t="str">
        <f t="shared" ca="1" si="111"/>
        <v>High Discount</v>
      </c>
    </row>
    <row r="374" spans="1:21" ht="15.6" customHeight="1" x14ac:dyDescent="0.3">
      <c r="A374" s="1" t="str">
        <f t="shared" si="106"/>
        <v>ORD-373</v>
      </c>
      <c r="B374" s="10">
        <f t="shared" ca="1" si="107"/>
        <v>45322</v>
      </c>
      <c r="C374" s="7">
        <f t="shared" ca="1" si="108"/>
        <v>45326</v>
      </c>
      <c r="D374" s="1" t="str">
        <f t="shared" ca="1" si="126"/>
        <v>Same Day</v>
      </c>
      <c r="E374" s="1" t="str">
        <f t="shared" ca="1" si="112"/>
        <v>CU-982</v>
      </c>
      <c r="F374" s="1" t="str">
        <f t="shared" ca="1" si="113"/>
        <v>Arjun Malhotra</v>
      </c>
      <c r="G374" s="1" t="str">
        <f t="shared" ca="1" si="114"/>
        <v>Home Office</v>
      </c>
      <c r="H374" s="1" t="str">
        <f t="shared" si="115"/>
        <v>India</v>
      </c>
      <c r="I374" s="1" t="str">
        <f t="shared" ca="1" si="116"/>
        <v>West</v>
      </c>
      <c r="J374" s="1" t="str">
        <f t="shared" ca="1" si="117"/>
        <v>Delhi</v>
      </c>
      <c r="K374" s="1" t="str">
        <f t="shared" ca="1" si="118"/>
        <v>Mumbai</v>
      </c>
      <c r="L374" s="1" t="str">
        <f t="shared" ca="1" si="119"/>
        <v>Furniture</v>
      </c>
      <c r="M374" s="1" t="str">
        <f t="shared" ca="1" si="120"/>
        <v>Mobile</v>
      </c>
      <c r="N374" s="1" t="str">
        <f t="shared" ca="1" si="121"/>
        <v>HP Pavilion</v>
      </c>
      <c r="O374" s="1">
        <f t="shared" ca="1" si="122"/>
        <v>48812</v>
      </c>
      <c r="P374" s="1">
        <f t="shared" ca="1" si="123"/>
        <v>9</v>
      </c>
      <c r="Q374" s="19">
        <f t="shared" ca="1" si="124"/>
        <v>0.1</v>
      </c>
      <c r="R374" s="1">
        <f t="shared" ca="1" si="125"/>
        <v>3904.9599999999996</v>
      </c>
      <c r="S374" s="1">
        <f t="shared" ca="1" si="109"/>
        <v>4</v>
      </c>
      <c r="T374" s="19">
        <f t="shared" ca="1" si="110"/>
        <v>7.9999999999999988E-2</v>
      </c>
      <c r="U374" s="1" t="str">
        <f t="shared" ca="1" si="111"/>
        <v>Low Discount</v>
      </c>
    </row>
    <row r="375" spans="1:21" ht="15.6" customHeight="1" x14ac:dyDescent="0.3">
      <c r="A375" s="1" t="str">
        <f t="shared" si="106"/>
        <v>ORD-374</v>
      </c>
      <c r="B375" s="10">
        <f t="shared" ca="1" si="107"/>
        <v>45541</v>
      </c>
      <c r="C375" s="7">
        <f t="shared" ca="1" si="108"/>
        <v>45543</v>
      </c>
      <c r="D375" s="1" t="str">
        <f t="shared" ca="1" si="126"/>
        <v>Second Class</v>
      </c>
      <c r="E375" s="1" t="str">
        <f t="shared" ca="1" si="112"/>
        <v>CU-461</v>
      </c>
      <c r="F375" s="1" t="str">
        <f t="shared" ca="1" si="113"/>
        <v>Priya Singh</v>
      </c>
      <c r="G375" s="1" t="str">
        <f t="shared" ca="1" si="114"/>
        <v>Corporate</v>
      </c>
      <c r="H375" s="1" t="str">
        <f t="shared" si="115"/>
        <v>India</v>
      </c>
      <c r="I375" s="1" t="str">
        <f t="shared" ca="1" si="116"/>
        <v>North</v>
      </c>
      <c r="J375" s="1" t="str">
        <f t="shared" ca="1" si="117"/>
        <v>Delhi</v>
      </c>
      <c r="K375" s="1" t="str">
        <f t="shared" ca="1" si="118"/>
        <v>Kolkata</v>
      </c>
      <c r="L375" s="1" t="str">
        <f t="shared" ca="1" si="119"/>
        <v>Technology</v>
      </c>
      <c r="M375" s="1" t="str">
        <f t="shared" ca="1" si="120"/>
        <v>Mobile</v>
      </c>
      <c r="N375" s="1" t="str">
        <f t="shared" ca="1" si="121"/>
        <v>A4 Paper</v>
      </c>
      <c r="O375" s="1">
        <f t="shared" ca="1" si="122"/>
        <v>1085</v>
      </c>
      <c r="P375" s="1">
        <f t="shared" ca="1" si="123"/>
        <v>10</v>
      </c>
      <c r="Q375" s="19">
        <f t="shared" ca="1" si="124"/>
        <v>0</v>
      </c>
      <c r="R375" s="1">
        <f t="shared" ca="1" si="125"/>
        <v>195.29999999999998</v>
      </c>
      <c r="S375" s="1">
        <f t="shared" ca="1" si="109"/>
        <v>2</v>
      </c>
      <c r="T375" s="19">
        <f t="shared" ca="1" si="110"/>
        <v>0.18</v>
      </c>
      <c r="U375" s="1" t="str">
        <f t="shared" ca="1" si="111"/>
        <v>Low Discount</v>
      </c>
    </row>
    <row r="376" spans="1:21" ht="15.6" customHeight="1" x14ac:dyDescent="0.3">
      <c r="A376" s="1" t="str">
        <f t="shared" si="106"/>
        <v>ORD-375</v>
      </c>
      <c r="B376" s="10">
        <f t="shared" ca="1" si="107"/>
        <v>45630</v>
      </c>
      <c r="C376" s="7">
        <f t="shared" ca="1" si="108"/>
        <v>45635</v>
      </c>
      <c r="D376" s="1" t="str">
        <f t="shared" ca="1" si="126"/>
        <v>Same Day</v>
      </c>
      <c r="E376" s="1" t="str">
        <f t="shared" ca="1" si="112"/>
        <v>CU-817</v>
      </c>
      <c r="F376" s="1" t="str">
        <f t="shared" ca="1" si="113"/>
        <v>Amit Verma</v>
      </c>
      <c r="G376" s="1" t="str">
        <f t="shared" ca="1" si="114"/>
        <v>Home Office</v>
      </c>
      <c r="H376" s="1" t="str">
        <f t="shared" si="115"/>
        <v>India</v>
      </c>
      <c r="I376" s="1" t="str">
        <f t="shared" ca="1" si="116"/>
        <v>North</v>
      </c>
      <c r="J376" s="1" t="str">
        <f t="shared" ca="1" si="117"/>
        <v>Karnataka</v>
      </c>
      <c r="K376" s="1" t="str">
        <f t="shared" ca="1" si="118"/>
        <v>Kolkata</v>
      </c>
      <c r="L376" s="1" t="str">
        <f t="shared" ca="1" si="119"/>
        <v>Technology</v>
      </c>
      <c r="M376" s="1" t="str">
        <f t="shared" ca="1" si="120"/>
        <v>Mobile</v>
      </c>
      <c r="N376" s="1" t="str">
        <f t="shared" ca="1" si="121"/>
        <v>A4 Paper</v>
      </c>
      <c r="O376" s="1">
        <f t="shared" ca="1" si="122"/>
        <v>34806</v>
      </c>
      <c r="P376" s="1">
        <f t="shared" ca="1" si="123"/>
        <v>7</v>
      </c>
      <c r="Q376" s="19">
        <f t="shared" ca="1" si="124"/>
        <v>0</v>
      </c>
      <c r="R376" s="1">
        <f t="shared" ca="1" si="125"/>
        <v>6265.08</v>
      </c>
      <c r="S376" s="1">
        <f t="shared" ca="1" si="109"/>
        <v>5</v>
      </c>
      <c r="T376" s="19">
        <f t="shared" ca="1" si="110"/>
        <v>0.18</v>
      </c>
      <c r="U376" s="1" t="str">
        <f t="shared" ca="1" si="111"/>
        <v>Low Discount</v>
      </c>
    </row>
    <row r="377" spans="1:21" ht="15.6" customHeight="1" x14ac:dyDescent="0.3">
      <c r="A377" s="1" t="str">
        <f t="shared" si="106"/>
        <v>ORD-376</v>
      </c>
      <c r="B377" s="10">
        <f t="shared" ca="1" si="107"/>
        <v>45418</v>
      </c>
      <c r="C377" s="7">
        <f t="shared" ca="1" si="108"/>
        <v>45422</v>
      </c>
      <c r="D377" s="1" t="str">
        <f t="shared" ca="1" si="126"/>
        <v>Standard Class</v>
      </c>
      <c r="E377" s="1" t="str">
        <f t="shared" ca="1" si="112"/>
        <v>CU-567</v>
      </c>
      <c r="F377" s="1" t="str">
        <f t="shared" ca="1" si="113"/>
        <v>Priya Singh</v>
      </c>
      <c r="G377" s="1" t="str">
        <f t="shared" ca="1" si="114"/>
        <v>Consumer</v>
      </c>
      <c r="H377" s="1" t="str">
        <f t="shared" si="115"/>
        <v>India</v>
      </c>
      <c r="I377" s="1" t="str">
        <f t="shared" ca="1" si="116"/>
        <v>North</v>
      </c>
      <c r="J377" s="1" t="str">
        <f t="shared" ca="1" si="117"/>
        <v>Gujarat</v>
      </c>
      <c r="K377" s="1" t="str">
        <f t="shared" ca="1" si="118"/>
        <v>Kolkata</v>
      </c>
      <c r="L377" s="1" t="str">
        <f t="shared" ca="1" si="119"/>
        <v>Furniture</v>
      </c>
      <c r="M377" s="1" t="str">
        <f t="shared" ca="1" si="120"/>
        <v>Chair</v>
      </c>
      <c r="N377" s="1" t="str">
        <f t="shared" ca="1" si="121"/>
        <v>A4 Paper</v>
      </c>
      <c r="O377" s="1">
        <f t="shared" ca="1" si="122"/>
        <v>27652</v>
      </c>
      <c r="P377" s="1">
        <f t="shared" ca="1" si="123"/>
        <v>3</v>
      </c>
      <c r="Q377" s="19">
        <f t="shared" ca="1" si="124"/>
        <v>0.3</v>
      </c>
      <c r="R377" s="1">
        <f t="shared" ca="1" si="125"/>
        <v>-3318.24</v>
      </c>
      <c r="S377" s="1">
        <f t="shared" ca="1" si="109"/>
        <v>4</v>
      </c>
      <c r="T377" s="19">
        <f t="shared" ca="1" si="110"/>
        <v>-0.12</v>
      </c>
      <c r="U377" s="1" t="str">
        <f t="shared" ca="1" si="111"/>
        <v>High Discount</v>
      </c>
    </row>
    <row r="378" spans="1:21" ht="15.6" customHeight="1" x14ac:dyDescent="0.3">
      <c r="A378" s="1" t="str">
        <f t="shared" si="106"/>
        <v>ORD-377</v>
      </c>
      <c r="B378" s="10">
        <f t="shared" ca="1" si="107"/>
        <v>45622</v>
      </c>
      <c r="C378" s="7">
        <f t="shared" ca="1" si="108"/>
        <v>45626</v>
      </c>
      <c r="D378" s="1" t="str">
        <f t="shared" ca="1" si="126"/>
        <v>Standard Class</v>
      </c>
      <c r="E378" s="1" t="str">
        <f t="shared" ca="1" si="112"/>
        <v>CU-507</v>
      </c>
      <c r="F378" s="1" t="str">
        <f t="shared" ca="1" si="113"/>
        <v>Amit Verma</v>
      </c>
      <c r="G378" s="1" t="str">
        <f t="shared" ca="1" si="114"/>
        <v>Home Office</v>
      </c>
      <c r="H378" s="1" t="str">
        <f t="shared" si="115"/>
        <v>India</v>
      </c>
      <c r="I378" s="1" t="str">
        <f t="shared" ca="1" si="116"/>
        <v>North</v>
      </c>
      <c r="J378" s="1" t="str">
        <f t="shared" ca="1" si="117"/>
        <v>West Bengal</v>
      </c>
      <c r="K378" s="1" t="str">
        <f t="shared" ca="1" si="118"/>
        <v>Chennai</v>
      </c>
      <c r="L378" s="1" t="str">
        <f t="shared" ca="1" si="119"/>
        <v>Furniture</v>
      </c>
      <c r="M378" s="1" t="str">
        <f t="shared" ca="1" si="120"/>
        <v>Mobile</v>
      </c>
      <c r="N378" s="1" t="str">
        <f t="shared" ca="1" si="121"/>
        <v>Samsung Galaxy</v>
      </c>
      <c r="O378" s="1">
        <f t="shared" ca="1" si="122"/>
        <v>50458</v>
      </c>
      <c r="P378" s="1">
        <f t="shared" ca="1" si="123"/>
        <v>7</v>
      </c>
      <c r="Q378" s="19">
        <f t="shared" ca="1" si="124"/>
        <v>0</v>
      </c>
      <c r="R378" s="1">
        <f t="shared" ca="1" si="125"/>
        <v>9082.44</v>
      </c>
      <c r="S378" s="1">
        <f t="shared" ca="1" si="109"/>
        <v>4</v>
      </c>
      <c r="T378" s="19">
        <f t="shared" ca="1" si="110"/>
        <v>0.18000000000000002</v>
      </c>
      <c r="U378" s="1" t="str">
        <f t="shared" ca="1" si="111"/>
        <v>Low Discount</v>
      </c>
    </row>
    <row r="379" spans="1:21" ht="15.6" customHeight="1" x14ac:dyDescent="0.3">
      <c r="A379" s="1" t="str">
        <f t="shared" si="106"/>
        <v>ORD-378</v>
      </c>
      <c r="B379" s="10">
        <f t="shared" ca="1" si="107"/>
        <v>45309</v>
      </c>
      <c r="C379" s="7">
        <f t="shared" ca="1" si="108"/>
        <v>45312</v>
      </c>
      <c r="D379" s="1" t="str">
        <f t="shared" ca="1" si="126"/>
        <v>Same Day</v>
      </c>
      <c r="E379" s="1" t="str">
        <f t="shared" ca="1" si="112"/>
        <v>CU-638</v>
      </c>
      <c r="F379" s="1" t="str">
        <f t="shared" ca="1" si="113"/>
        <v>Amit Verma</v>
      </c>
      <c r="G379" s="1" t="str">
        <f t="shared" ca="1" si="114"/>
        <v>Corporate</v>
      </c>
      <c r="H379" s="1" t="str">
        <f t="shared" si="115"/>
        <v>India</v>
      </c>
      <c r="I379" s="1" t="str">
        <f t="shared" ca="1" si="116"/>
        <v>East</v>
      </c>
      <c r="J379" s="1" t="str">
        <f t="shared" ca="1" si="117"/>
        <v>Maharashtra</v>
      </c>
      <c r="K379" s="1" t="str">
        <f t="shared" ca="1" si="118"/>
        <v>Delhi</v>
      </c>
      <c r="L379" s="1" t="str">
        <f t="shared" ca="1" si="119"/>
        <v>Technology</v>
      </c>
      <c r="M379" s="1" t="str">
        <f t="shared" ca="1" si="120"/>
        <v>Laptop</v>
      </c>
      <c r="N379" s="1" t="str">
        <f t="shared" ca="1" si="121"/>
        <v>Office Table</v>
      </c>
      <c r="O379" s="1">
        <f t="shared" ca="1" si="122"/>
        <v>1529</v>
      </c>
      <c r="P379" s="1">
        <f t="shared" ca="1" si="123"/>
        <v>10</v>
      </c>
      <c r="Q379" s="19">
        <f t="shared" ca="1" si="124"/>
        <v>0.3</v>
      </c>
      <c r="R379" s="1">
        <f t="shared" ca="1" si="125"/>
        <v>-183.48</v>
      </c>
      <c r="S379" s="1">
        <f t="shared" ca="1" si="109"/>
        <v>3</v>
      </c>
      <c r="T379" s="19">
        <f t="shared" ca="1" si="110"/>
        <v>-0.12</v>
      </c>
      <c r="U379" s="1" t="str">
        <f t="shared" ca="1" si="111"/>
        <v>High Discount</v>
      </c>
    </row>
    <row r="380" spans="1:21" ht="15.6" customHeight="1" x14ac:dyDescent="0.3">
      <c r="A380" s="1" t="str">
        <f t="shared" si="106"/>
        <v>ORD-379</v>
      </c>
      <c r="B380" s="10">
        <f t="shared" ca="1" si="107"/>
        <v>45633</v>
      </c>
      <c r="C380" s="7">
        <f t="shared" ca="1" si="108"/>
        <v>45633</v>
      </c>
      <c r="D380" s="1" t="str">
        <f t="shared" ca="1" si="126"/>
        <v>Second Class</v>
      </c>
      <c r="E380" s="1" t="str">
        <f t="shared" ca="1" si="112"/>
        <v>CU-666</v>
      </c>
      <c r="F380" s="1" t="str">
        <f t="shared" ca="1" si="113"/>
        <v>Pooja Yadav</v>
      </c>
      <c r="G380" s="1" t="str">
        <f t="shared" ca="1" si="114"/>
        <v>Consumer</v>
      </c>
      <c r="H380" s="1" t="str">
        <f t="shared" si="115"/>
        <v>India</v>
      </c>
      <c r="I380" s="1" t="str">
        <f t="shared" ca="1" si="116"/>
        <v>South</v>
      </c>
      <c r="J380" s="1" t="str">
        <f t="shared" ca="1" si="117"/>
        <v>Tamil Nadu</v>
      </c>
      <c r="K380" s="1" t="str">
        <f t="shared" ca="1" si="118"/>
        <v>Kolkata</v>
      </c>
      <c r="L380" s="1" t="str">
        <f t="shared" ca="1" si="119"/>
        <v>Technology</v>
      </c>
      <c r="M380" s="1" t="str">
        <f t="shared" ca="1" si="120"/>
        <v>Paper</v>
      </c>
      <c r="N380" s="1" t="str">
        <f t="shared" ca="1" si="121"/>
        <v>HP Pavilion</v>
      </c>
      <c r="O380" s="1">
        <f t="shared" ca="1" si="122"/>
        <v>23045</v>
      </c>
      <c r="P380" s="1">
        <f t="shared" ca="1" si="123"/>
        <v>1</v>
      </c>
      <c r="Q380" s="19">
        <f t="shared" ca="1" si="124"/>
        <v>0.2</v>
      </c>
      <c r="R380" s="1">
        <f t="shared" ca="1" si="125"/>
        <v>-460.90000000000043</v>
      </c>
      <c r="S380" s="1">
        <f t="shared" ca="1" si="109"/>
        <v>0</v>
      </c>
      <c r="T380" s="19">
        <f t="shared" ca="1" si="110"/>
        <v>-2.0000000000000018E-2</v>
      </c>
      <c r="U380" s="1" t="str">
        <f t="shared" ca="1" si="111"/>
        <v>High Discount</v>
      </c>
    </row>
    <row r="381" spans="1:21" ht="15.6" customHeight="1" x14ac:dyDescent="0.3">
      <c r="A381" s="1" t="str">
        <f t="shared" si="106"/>
        <v>ORD-380</v>
      </c>
      <c r="B381" s="10">
        <f t="shared" ca="1" si="107"/>
        <v>45387</v>
      </c>
      <c r="C381" s="7">
        <f t="shared" ca="1" si="108"/>
        <v>45388</v>
      </c>
      <c r="D381" s="1" t="str">
        <f t="shared" ca="1" si="126"/>
        <v>Same Day</v>
      </c>
      <c r="E381" s="1" t="str">
        <f t="shared" ca="1" si="112"/>
        <v>CU-573</v>
      </c>
      <c r="F381" s="1" t="str">
        <f t="shared" ca="1" si="113"/>
        <v>Pooja Yadav</v>
      </c>
      <c r="G381" s="1" t="str">
        <f t="shared" ca="1" si="114"/>
        <v>Consumer</v>
      </c>
      <c r="H381" s="1" t="str">
        <f t="shared" si="115"/>
        <v>India</v>
      </c>
      <c r="I381" s="1" t="str">
        <f t="shared" ca="1" si="116"/>
        <v>North</v>
      </c>
      <c r="J381" s="1" t="str">
        <f t="shared" ca="1" si="117"/>
        <v>Karnataka</v>
      </c>
      <c r="K381" s="1" t="str">
        <f t="shared" ca="1" si="118"/>
        <v>Bangalore</v>
      </c>
      <c r="L381" s="1" t="str">
        <f t="shared" ca="1" si="119"/>
        <v>Technology</v>
      </c>
      <c r="M381" s="1" t="str">
        <f t="shared" ca="1" si="120"/>
        <v>Paper</v>
      </c>
      <c r="N381" s="1" t="str">
        <f t="shared" ca="1" si="121"/>
        <v>Samsung Galaxy</v>
      </c>
      <c r="O381" s="1">
        <f t="shared" ca="1" si="122"/>
        <v>9833</v>
      </c>
      <c r="P381" s="1">
        <f t="shared" ca="1" si="123"/>
        <v>4</v>
      </c>
      <c r="Q381" s="19">
        <f t="shared" ca="1" si="124"/>
        <v>0.1</v>
      </c>
      <c r="R381" s="1">
        <f t="shared" ca="1" si="125"/>
        <v>786.63999999999987</v>
      </c>
      <c r="S381" s="1">
        <f t="shared" ca="1" si="109"/>
        <v>1</v>
      </c>
      <c r="T381" s="19">
        <f t="shared" ca="1" si="110"/>
        <v>7.9999999999999988E-2</v>
      </c>
      <c r="U381" s="1" t="str">
        <f t="shared" ca="1" si="111"/>
        <v>Low Discount</v>
      </c>
    </row>
    <row r="382" spans="1:21" ht="15.6" customHeight="1" x14ac:dyDescent="0.3">
      <c r="A382" s="1" t="str">
        <f t="shared" si="106"/>
        <v>ORD-381</v>
      </c>
      <c r="B382" s="10">
        <f t="shared" ca="1" si="107"/>
        <v>45334</v>
      </c>
      <c r="C382" s="7">
        <f t="shared" ca="1" si="108"/>
        <v>45339</v>
      </c>
      <c r="D382" s="1" t="str">
        <f t="shared" ca="1" si="126"/>
        <v>Standard Class</v>
      </c>
      <c r="E382" s="1" t="str">
        <f t="shared" ca="1" si="112"/>
        <v>CU-403</v>
      </c>
      <c r="F382" s="1" t="str">
        <f t="shared" ca="1" si="113"/>
        <v>Arjun Malhotra</v>
      </c>
      <c r="G382" s="1" t="str">
        <f t="shared" ca="1" si="114"/>
        <v>Consumer</v>
      </c>
      <c r="H382" s="1" t="str">
        <f t="shared" si="115"/>
        <v>India</v>
      </c>
      <c r="I382" s="1" t="str">
        <f t="shared" ca="1" si="116"/>
        <v>South</v>
      </c>
      <c r="J382" s="1" t="str">
        <f t="shared" ca="1" si="117"/>
        <v>Tamil Nadu</v>
      </c>
      <c r="K382" s="1" t="str">
        <f t="shared" ca="1" si="118"/>
        <v>Chennai</v>
      </c>
      <c r="L382" s="1" t="str">
        <f t="shared" ca="1" si="119"/>
        <v>Technology</v>
      </c>
      <c r="M382" s="1" t="str">
        <f t="shared" ca="1" si="120"/>
        <v>Paper</v>
      </c>
      <c r="N382" s="1" t="str">
        <f t="shared" ca="1" si="121"/>
        <v>A4 Paper</v>
      </c>
      <c r="O382" s="1">
        <f t="shared" ca="1" si="122"/>
        <v>33392</v>
      </c>
      <c r="P382" s="1">
        <f t="shared" ca="1" si="123"/>
        <v>8</v>
      </c>
      <c r="Q382" s="19">
        <f t="shared" ca="1" si="124"/>
        <v>0.1</v>
      </c>
      <c r="R382" s="1">
        <f t="shared" ca="1" si="125"/>
        <v>2671.3599999999997</v>
      </c>
      <c r="S382" s="1">
        <f t="shared" ca="1" si="109"/>
        <v>5</v>
      </c>
      <c r="T382" s="19">
        <f t="shared" ca="1" si="110"/>
        <v>7.9999999999999988E-2</v>
      </c>
      <c r="U382" s="1" t="str">
        <f t="shared" ca="1" si="111"/>
        <v>Low Discount</v>
      </c>
    </row>
    <row r="383" spans="1:21" ht="15.6" customHeight="1" x14ac:dyDescent="0.3">
      <c r="A383" s="1" t="str">
        <f t="shared" si="106"/>
        <v>ORD-382</v>
      </c>
      <c r="B383" s="10">
        <f t="shared" ca="1" si="107"/>
        <v>45488</v>
      </c>
      <c r="C383" s="7">
        <f t="shared" ca="1" si="108"/>
        <v>45489</v>
      </c>
      <c r="D383" s="1" t="str">
        <f t="shared" ca="1" si="126"/>
        <v>Second Class</v>
      </c>
      <c r="E383" s="1" t="str">
        <f t="shared" ca="1" si="112"/>
        <v>CU-271</v>
      </c>
      <c r="F383" s="1" t="str">
        <f t="shared" ca="1" si="113"/>
        <v>Pooja Yadav</v>
      </c>
      <c r="G383" s="1" t="str">
        <f t="shared" ca="1" si="114"/>
        <v>Corporate</v>
      </c>
      <c r="H383" s="1" t="str">
        <f t="shared" si="115"/>
        <v>India</v>
      </c>
      <c r="I383" s="1" t="str">
        <f t="shared" ca="1" si="116"/>
        <v>West</v>
      </c>
      <c r="J383" s="1" t="str">
        <f t="shared" ca="1" si="117"/>
        <v>West Bengal</v>
      </c>
      <c r="K383" s="1" t="str">
        <f t="shared" ca="1" si="118"/>
        <v>Mumbai</v>
      </c>
      <c r="L383" s="1" t="str">
        <f t="shared" ca="1" si="119"/>
        <v>Office Supplies</v>
      </c>
      <c r="M383" s="1" t="str">
        <f t="shared" ca="1" si="120"/>
        <v>Paper</v>
      </c>
      <c r="N383" s="1" t="str">
        <f t="shared" ca="1" si="121"/>
        <v>Office Table</v>
      </c>
      <c r="O383" s="1">
        <f t="shared" ca="1" si="122"/>
        <v>15400</v>
      </c>
      <c r="P383" s="1">
        <f t="shared" ca="1" si="123"/>
        <v>6</v>
      </c>
      <c r="Q383" s="19">
        <f t="shared" ca="1" si="124"/>
        <v>0.3</v>
      </c>
      <c r="R383" s="1">
        <f t="shared" ca="1" si="125"/>
        <v>-1848</v>
      </c>
      <c r="S383" s="1">
        <f t="shared" ca="1" si="109"/>
        <v>1</v>
      </c>
      <c r="T383" s="19">
        <f t="shared" ca="1" si="110"/>
        <v>-0.12</v>
      </c>
      <c r="U383" s="1" t="str">
        <f t="shared" ca="1" si="111"/>
        <v>High Discount</v>
      </c>
    </row>
    <row r="384" spans="1:21" ht="15.6" customHeight="1" x14ac:dyDescent="0.3">
      <c r="A384" s="1" t="str">
        <f t="shared" si="106"/>
        <v>ORD-383</v>
      </c>
      <c r="B384" s="10">
        <f t="shared" ca="1" si="107"/>
        <v>45468</v>
      </c>
      <c r="C384" s="7">
        <f t="shared" ca="1" si="108"/>
        <v>45471</v>
      </c>
      <c r="D384" s="1" t="str">
        <f t="shared" ca="1" si="126"/>
        <v>Same Day</v>
      </c>
      <c r="E384" s="1" t="str">
        <f t="shared" ca="1" si="112"/>
        <v>CU-975</v>
      </c>
      <c r="F384" s="1" t="str">
        <f t="shared" ca="1" si="113"/>
        <v>Neha Gupta</v>
      </c>
      <c r="G384" s="1" t="str">
        <f t="shared" ca="1" si="114"/>
        <v>Corporate</v>
      </c>
      <c r="H384" s="1" t="str">
        <f t="shared" si="115"/>
        <v>India</v>
      </c>
      <c r="I384" s="1" t="str">
        <f t="shared" ca="1" si="116"/>
        <v>East</v>
      </c>
      <c r="J384" s="1" t="str">
        <f t="shared" ca="1" si="117"/>
        <v>Karnataka</v>
      </c>
      <c r="K384" s="1" t="str">
        <f t="shared" ca="1" si="118"/>
        <v>Bangalore</v>
      </c>
      <c r="L384" s="1" t="str">
        <f t="shared" ca="1" si="119"/>
        <v>Technology</v>
      </c>
      <c r="M384" s="1" t="str">
        <f t="shared" ca="1" si="120"/>
        <v>Chair</v>
      </c>
      <c r="N384" s="1" t="str">
        <f t="shared" ca="1" si="121"/>
        <v>Office Table</v>
      </c>
      <c r="O384" s="1">
        <f t="shared" ca="1" si="122"/>
        <v>37937</v>
      </c>
      <c r="P384" s="1">
        <f t="shared" ca="1" si="123"/>
        <v>9</v>
      </c>
      <c r="Q384" s="19">
        <f t="shared" ca="1" si="124"/>
        <v>0.2</v>
      </c>
      <c r="R384" s="1">
        <f t="shared" ca="1" si="125"/>
        <v>-758.74000000000069</v>
      </c>
      <c r="S384" s="1">
        <f t="shared" ca="1" si="109"/>
        <v>3</v>
      </c>
      <c r="T384" s="19">
        <f t="shared" ca="1" si="110"/>
        <v>-2.0000000000000018E-2</v>
      </c>
      <c r="U384" s="1" t="str">
        <f t="shared" ca="1" si="111"/>
        <v>High Discount</v>
      </c>
    </row>
    <row r="385" spans="1:21" ht="15.6" customHeight="1" x14ac:dyDescent="0.3">
      <c r="A385" s="1" t="str">
        <f t="shared" si="106"/>
        <v>ORD-384</v>
      </c>
      <c r="B385" s="10">
        <f t="shared" ca="1" si="107"/>
        <v>45483</v>
      </c>
      <c r="C385" s="7">
        <f t="shared" ca="1" si="108"/>
        <v>45485</v>
      </c>
      <c r="D385" s="1" t="str">
        <f t="shared" ca="1" si="126"/>
        <v>Standard Class</v>
      </c>
      <c r="E385" s="1" t="str">
        <f t="shared" ca="1" si="112"/>
        <v>CU-253</v>
      </c>
      <c r="F385" s="1" t="str">
        <f t="shared" ca="1" si="113"/>
        <v>Rahul Sharma</v>
      </c>
      <c r="G385" s="1" t="str">
        <f t="shared" ca="1" si="114"/>
        <v>Consumer</v>
      </c>
      <c r="H385" s="1" t="str">
        <f t="shared" si="115"/>
        <v>India</v>
      </c>
      <c r="I385" s="1" t="str">
        <f t="shared" ca="1" si="116"/>
        <v>West</v>
      </c>
      <c r="J385" s="1" t="str">
        <f t="shared" ca="1" si="117"/>
        <v>Delhi</v>
      </c>
      <c r="K385" s="1" t="str">
        <f t="shared" ca="1" si="118"/>
        <v>Mumbai</v>
      </c>
      <c r="L385" s="1" t="str">
        <f t="shared" ca="1" si="119"/>
        <v>Technology</v>
      </c>
      <c r="M385" s="1" t="str">
        <f t="shared" ca="1" si="120"/>
        <v>Paper</v>
      </c>
      <c r="N385" s="1" t="str">
        <f t="shared" ca="1" si="121"/>
        <v>HP Pavilion</v>
      </c>
      <c r="O385" s="1">
        <f t="shared" ca="1" si="122"/>
        <v>31580</v>
      </c>
      <c r="P385" s="1">
        <f t="shared" ca="1" si="123"/>
        <v>10</v>
      </c>
      <c r="Q385" s="19">
        <f t="shared" ca="1" si="124"/>
        <v>0</v>
      </c>
      <c r="R385" s="1">
        <f t="shared" ca="1" si="125"/>
        <v>5684.4</v>
      </c>
      <c r="S385" s="1">
        <f t="shared" ca="1" si="109"/>
        <v>2</v>
      </c>
      <c r="T385" s="19">
        <f t="shared" ca="1" si="110"/>
        <v>0.18</v>
      </c>
      <c r="U385" s="1" t="str">
        <f t="shared" ca="1" si="111"/>
        <v>Low Discount</v>
      </c>
    </row>
    <row r="386" spans="1:21" ht="15.6" customHeight="1" x14ac:dyDescent="0.3">
      <c r="A386" s="1" t="str">
        <f t="shared" ref="A386:A449" si="127">"ORD-"&amp;(ROW()-1)</f>
        <v>ORD-385</v>
      </c>
      <c r="B386" s="10">
        <f t="shared" ref="B386:B449" ca="1" si="128">DATE(2024,1,1)+RANDBETWEEN(1,365)</f>
        <v>45414</v>
      </c>
      <c r="C386" s="7">
        <f t="shared" ref="C386:C449" ca="1" si="129">B386+RANDBETWEEN(0,5)</f>
        <v>45419</v>
      </c>
      <c r="D386" s="1" t="str">
        <f t="shared" ca="1" si="126"/>
        <v>Standard Class</v>
      </c>
      <c r="E386" s="1" t="str">
        <f t="shared" ca="1" si="112"/>
        <v>CU-480</v>
      </c>
      <c r="F386" s="1" t="str">
        <f t="shared" ca="1" si="113"/>
        <v>Sunil Kumar</v>
      </c>
      <c r="G386" s="1" t="str">
        <f t="shared" ca="1" si="114"/>
        <v>Consumer</v>
      </c>
      <c r="H386" s="1" t="str">
        <f t="shared" si="115"/>
        <v>India</v>
      </c>
      <c r="I386" s="1" t="str">
        <f t="shared" ca="1" si="116"/>
        <v>South</v>
      </c>
      <c r="J386" s="1" t="str">
        <f t="shared" ca="1" si="117"/>
        <v>Karnataka</v>
      </c>
      <c r="K386" s="1" t="str">
        <f t="shared" ca="1" si="118"/>
        <v>Delhi</v>
      </c>
      <c r="L386" s="1" t="str">
        <f t="shared" ca="1" si="119"/>
        <v>Technology</v>
      </c>
      <c r="M386" s="1" t="str">
        <f t="shared" ca="1" si="120"/>
        <v>Paper</v>
      </c>
      <c r="N386" s="1" t="str">
        <f t="shared" ca="1" si="121"/>
        <v>A4 Paper</v>
      </c>
      <c r="O386" s="1">
        <f t="shared" ca="1" si="122"/>
        <v>52947</v>
      </c>
      <c r="P386" s="1">
        <f t="shared" ca="1" si="123"/>
        <v>1</v>
      </c>
      <c r="Q386" s="19">
        <f t="shared" ca="1" si="124"/>
        <v>0.05</v>
      </c>
      <c r="R386" s="1">
        <f t="shared" ca="1" si="125"/>
        <v>6883.1100000000006</v>
      </c>
      <c r="S386" s="1">
        <f t="shared" ref="S386:S449" ca="1" si="130">C386-B386</f>
        <v>5</v>
      </c>
      <c r="T386" s="19">
        <f t="shared" ref="T386:T449" ca="1" si="131">R386/O386</f>
        <v>0.13</v>
      </c>
      <c r="U386" s="1" t="str">
        <f t="shared" ref="U386:U449" ca="1" si="132">IF(Q386&gt;=0.2,"High Discount","Low Discount")</f>
        <v>Low Discount</v>
      </c>
    </row>
    <row r="387" spans="1:21" ht="15.6" customHeight="1" x14ac:dyDescent="0.3">
      <c r="A387" s="1" t="str">
        <f t="shared" si="127"/>
        <v>ORD-386</v>
      </c>
      <c r="B387" s="10">
        <f t="shared" ca="1" si="128"/>
        <v>45308</v>
      </c>
      <c r="C387" s="7">
        <f t="shared" ca="1" si="129"/>
        <v>45313</v>
      </c>
      <c r="D387" s="1" t="str">
        <f t="shared" ca="1" si="126"/>
        <v>Standard Class</v>
      </c>
      <c r="E387" s="1" t="str">
        <f t="shared" ref="E387:E450" ca="1" si="133">"CU-"&amp;RANDBETWEEN(100,999)</f>
        <v>CU-803</v>
      </c>
      <c r="F387" s="1" t="str">
        <f t="shared" ref="F387:F450" ca="1" si="134">CHOOSE(RANDBETWEEN(1,8),"Rahul Sharma","Amit Verma","Priya Singh","Sunil Kumar","Neha Gupta","Ravi Mehta","Pooja Yadav","Arjun Malhotra")</f>
        <v>Priya Singh</v>
      </c>
      <c r="G387" s="1" t="str">
        <f t="shared" ref="G387:G450" ca="1" si="135">CHOOSE(RANDBETWEEN(1,3),"Consumer","Corporate","Home Office")</f>
        <v>Corporate</v>
      </c>
      <c r="H387" s="1" t="str">
        <f t="shared" ref="H387:H450" si="136">"India"</f>
        <v>India</v>
      </c>
      <c r="I387" s="1" t="str">
        <f t="shared" ref="I387:I450" ca="1" si="137">CHOOSE(RANDBETWEEN(1,4),"North","South","East","West")</f>
        <v>East</v>
      </c>
      <c r="J387" s="1" t="str">
        <f t="shared" ref="J387:J450" ca="1" si="138">CHOOSE(RANDBETWEEN(1,6),"Delhi","Maharashtra","Karnataka","West Bengal","Gujarat","Tamil Nadu")</f>
        <v>West Bengal</v>
      </c>
      <c r="K387" s="1" t="str">
        <f t="shared" ref="K387:K450" ca="1" si="139">CHOOSE(RANDBETWEEN(1,6),"Delhi","Mumbai","Bangalore","Kolkata","Ahmedabad","Chennai")</f>
        <v>Delhi</v>
      </c>
      <c r="L387" s="1" t="str">
        <f t="shared" ref="L387:L450" ca="1" si="140">CHOOSE(RANDBETWEEN(1,3),"Technology","Furniture","Office Supplies")</f>
        <v>Furniture</v>
      </c>
      <c r="M387" s="1" t="str">
        <f t="shared" ref="M387:M450" ca="1" si="141">CHOOSE(RANDBETWEEN(1,5),"Mobile","Laptop","Chair","Table","Paper")</f>
        <v>Laptop</v>
      </c>
      <c r="N387" s="1" t="str">
        <f t="shared" ref="N387:N450" ca="1" si="142">CHOOSE(RANDBETWEEN(1,6),"Samsung Galaxy","HP Pavilion","Office Chair","Office Table","A4 Paper","Wireless Mouse")</f>
        <v>Office Table</v>
      </c>
      <c r="O387" s="1">
        <f t="shared" ref="O387:O450" ca="1" si="143">RANDBETWEEN(500,60000)</f>
        <v>40499</v>
      </c>
      <c r="P387" s="1">
        <f t="shared" ref="P387:P450" ca="1" si="144">RANDBETWEEN(1,10)</f>
        <v>6</v>
      </c>
      <c r="Q387" s="19">
        <f t="shared" ref="Q387:Q450" ca="1" si="145">CHOOSE(RANDBETWEEN(1,5),0,0.05,0.1,0.2,0.3)</f>
        <v>0.05</v>
      </c>
      <c r="R387" s="1">
        <f t="shared" ref="R387:R450" ca="1" si="146">O387*(0.18-Q387)</f>
        <v>5264.87</v>
      </c>
      <c r="S387" s="1">
        <f t="shared" ca="1" si="130"/>
        <v>5</v>
      </c>
      <c r="T387" s="19">
        <f t="shared" ca="1" si="131"/>
        <v>0.13</v>
      </c>
      <c r="U387" s="1" t="str">
        <f t="shared" ca="1" si="132"/>
        <v>Low Discount</v>
      </c>
    </row>
    <row r="388" spans="1:21" ht="15.6" customHeight="1" x14ac:dyDescent="0.3">
      <c r="A388" s="1" t="str">
        <f t="shared" si="127"/>
        <v>ORD-387</v>
      </c>
      <c r="B388" s="10">
        <f t="shared" ca="1" si="128"/>
        <v>45455</v>
      </c>
      <c r="C388" s="7">
        <f t="shared" ca="1" si="129"/>
        <v>45457</v>
      </c>
      <c r="D388" s="1" t="str">
        <f t="shared" ca="1" si="126"/>
        <v>Same Day</v>
      </c>
      <c r="E388" s="1" t="str">
        <f t="shared" ca="1" si="133"/>
        <v>CU-483</v>
      </c>
      <c r="F388" s="1" t="str">
        <f t="shared" ca="1" si="134"/>
        <v>Rahul Sharma</v>
      </c>
      <c r="G388" s="1" t="str">
        <f t="shared" ca="1" si="135"/>
        <v>Home Office</v>
      </c>
      <c r="H388" s="1" t="str">
        <f t="shared" si="136"/>
        <v>India</v>
      </c>
      <c r="I388" s="1" t="str">
        <f t="shared" ca="1" si="137"/>
        <v>South</v>
      </c>
      <c r="J388" s="1" t="str">
        <f t="shared" ca="1" si="138"/>
        <v>Karnataka</v>
      </c>
      <c r="K388" s="1" t="str">
        <f t="shared" ca="1" si="139"/>
        <v>Delhi</v>
      </c>
      <c r="L388" s="1" t="str">
        <f t="shared" ca="1" si="140"/>
        <v>Furniture</v>
      </c>
      <c r="M388" s="1" t="str">
        <f t="shared" ca="1" si="141"/>
        <v>Laptop</v>
      </c>
      <c r="N388" s="1" t="str">
        <f t="shared" ca="1" si="142"/>
        <v>A4 Paper</v>
      </c>
      <c r="O388" s="1">
        <f t="shared" ca="1" si="143"/>
        <v>30434</v>
      </c>
      <c r="P388" s="1">
        <f t="shared" ca="1" si="144"/>
        <v>10</v>
      </c>
      <c r="Q388" s="19">
        <f t="shared" ca="1" si="145"/>
        <v>0.1</v>
      </c>
      <c r="R388" s="1">
        <f t="shared" ca="1" si="146"/>
        <v>2434.7199999999998</v>
      </c>
      <c r="S388" s="1">
        <f t="shared" ca="1" si="130"/>
        <v>2</v>
      </c>
      <c r="T388" s="19">
        <f t="shared" ca="1" si="131"/>
        <v>7.9999999999999988E-2</v>
      </c>
      <c r="U388" s="1" t="str">
        <f t="shared" ca="1" si="132"/>
        <v>Low Discount</v>
      </c>
    </row>
    <row r="389" spans="1:21" ht="15.6" customHeight="1" x14ac:dyDescent="0.3">
      <c r="A389" s="1" t="str">
        <f t="shared" si="127"/>
        <v>ORD-388</v>
      </c>
      <c r="B389" s="10">
        <f t="shared" ca="1" si="128"/>
        <v>45575</v>
      </c>
      <c r="C389" s="7">
        <f t="shared" ca="1" si="129"/>
        <v>45576</v>
      </c>
      <c r="D389" s="1" t="str">
        <f t="shared" ca="1" si="126"/>
        <v>Second Class</v>
      </c>
      <c r="E389" s="1" t="str">
        <f t="shared" ca="1" si="133"/>
        <v>CU-132</v>
      </c>
      <c r="F389" s="1" t="str">
        <f t="shared" ca="1" si="134"/>
        <v>Priya Singh</v>
      </c>
      <c r="G389" s="1" t="str">
        <f t="shared" ca="1" si="135"/>
        <v>Home Office</v>
      </c>
      <c r="H389" s="1" t="str">
        <f t="shared" si="136"/>
        <v>India</v>
      </c>
      <c r="I389" s="1" t="str">
        <f t="shared" ca="1" si="137"/>
        <v>West</v>
      </c>
      <c r="J389" s="1" t="str">
        <f t="shared" ca="1" si="138"/>
        <v>West Bengal</v>
      </c>
      <c r="K389" s="1" t="str">
        <f t="shared" ca="1" si="139"/>
        <v>Ahmedabad</v>
      </c>
      <c r="L389" s="1" t="str">
        <f t="shared" ca="1" si="140"/>
        <v>Office Supplies</v>
      </c>
      <c r="M389" s="1" t="str">
        <f t="shared" ca="1" si="141"/>
        <v>Chair</v>
      </c>
      <c r="N389" s="1" t="str">
        <f t="shared" ca="1" si="142"/>
        <v>Wireless Mouse</v>
      </c>
      <c r="O389" s="1">
        <f t="shared" ca="1" si="143"/>
        <v>46174</v>
      </c>
      <c r="P389" s="1">
        <f t="shared" ca="1" si="144"/>
        <v>8</v>
      </c>
      <c r="Q389" s="19">
        <f t="shared" ca="1" si="145"/>
        <v>0.05</v>
      </c>
      <c r="R389" s="1">
        <f t="shared" ca="1" si="146"/>
        <v>6002.62</v>
      </c>
      <c r="S389" s="1">
        <f t="shared" ca="1" si="130"/>
        <v>1</v>
      </c>
      <c r="T389" s="19">
        <f t="shared" ca="1" si="131"/>
        <v>0.13</v>
      </c>
      <c r="U389" s="1" t="str">
        <f t="shared" ca="1" si="132"/>
        <v>Low Discount</v>
      </c>
    </row>
    <row r="390" spans="1:21" ht="15.6" customHeight="1" x14ac:dyDescent="0.3">
      <c r="A390" s="1" t="str">
        <f t="shared" si="127"/>
        <v>ORD-389</v>
      </c>
      <c r="B390" s="10">
        <f t="shared" ca="1" si="128"/>
        <v>45465</v>
      </c>
      <c r="C390" s="7">
        <f t="shared" ca="1" si="129"/>
        <v>45469</v>
      </c>
      <c r="D390" s="1" t="str">
        <f t="shared" ca="1" si="126"/>
        <v>Standard Class</v>
      </c>
      <c r="E390" s="1" t="str">
        <f t="shared" ca="1" si="133"/>
        <v>CU-377</v>
      </c>
      <c r="F390" s="1" t="str">
        <f t="shared" ca="1" si="134"/>
        <v>Ravi Mehta</v>
      </c>
      <c r="G390" s="1" t="str">
        <f t="shared" ca="1" si="135"/>
        <v>Corporate</v>
      </c>
      <c r="H390" s="1" t="str">
        <f t="shared" si="136"/>
        <v>India</v>
      </c>
      <c r="I390" s="1" t="str">
        <f t="shared" ca="1" si="137"/>
        <v>West</v>
      </c>
      <c r="J390" s="1" t="str">
        <f t="shared" ca="1" si="138"/>
        <v>Delhi</v>
      </c>
      <c r="K390" s="1" t="str">
        <f t="shared" ca="1" si="139"/>
        <v>Chennai</v>
      </c>
      <c r="L390" s="1" t="str">
        <f t="shared" ca="1" si="140"/>
        <v>Furniture</v>
      </c>
      <c r="M390" s="1" t="str">
        <f t="shared" ca="1" si="141"/>
        <v>Mobile</v>
      </c>
      <c r="N390" s="1" t="str">
        <f t="shared" ca="1" si="142"/>
        <v>A4 Paper</v>
      </c>
      <c r="O390" s="1">
        <f t="shared" ca="1" si="143"/>
        <v>23711</v>
      </c>
      <c r="P390" s="1">
        <f t="shared" ca="1" si="144"/>
        <v>4</v>
      </c>
      <c r="Q390" s="19">
        <f t="shared" ca="1" si="145"/>
        <v>0.1</v>
      </c>
      <c r="R390" s="1">
        <f t="shared" ca="1" si="146"/>
        <v>1896.8799999999997</v>
      </c>
      <c r="S390" s="1">
        <f t="shared" ca="1" si="130"/>
        <v>4</v>
      </c>
      <c r="T390" s="19">
        <f t="shared" ca="1" si="131"/>
        <v>7.9999999999999988E-2</v>
      </c>
      <c r="U390" s="1" t="str">
        <f t="shared" ca="1" si="132"/>
        <v>Low Discount</v>
      </c>
    </row>
    <row r="391" spans="1:21" ht="15.6" customHeight="1" x14ac:dyDescent="0.3">
      <c r="A391" s="1" t="str">
        <f t="shared" si="127"/>
        <v>ORD-390</v>
      </c>
      <c r="B391" s="10">
        <f t="shared" ca="1" si="128"/>
        <v>45567</v>
      </c>
      <c r="C391" s="7">
        <f t="shared" ca="1" si="129"/>
        <v>45568</v>
      </c>
      <c r="D391" s="1" t="str">
        <f t="shared" ca="1" si="126"/>
        <v>Second Class</v>
      </c>
      <c r="E391" s="1" t="str">
        <f t="shared" ca="1" si="133"/>
        <v>CU-474</v>
      </c>
      <c r="F391" s="1" t="str">
        <f t="shared" ca="1" si="134"/>
        <v>Neha Gupta</v>
      </c>
      <c r="G391" s="1" t="str">
        <f t="shared" ca="1" si="135"/>
        <v>Home Office</v>
      </c>
      <c r="H391" s="1" t="str">
        <f t="shared" si="136"/>
        <v>India</v>
      </c>
      <c r="I391" s="1" t="str">
        <f t="shared" ca="1" si="137"/>
        <v>South</v>
      </c>
      <c r="J391" s="1" t="str">
        <f t="shared" ca="1" si="138"/>
        <v>West Bengal</v>
      </c>
      <c r="K391" s="1" t="str">
        <f t="shared" ca="1" si="139"/>
        <v>Kolkata</v>
      </c>
      <c r="L391" s="1" t="str">
        <f t="shared" ca="1" si="140"/>
        <v>Technology</v>
      </c>
      <c r="M391" s="1" t="str">
        <f t="shared" ca="1" si="141"/>
        <v>Laptop</v>
      </c>
      <c r="N391" s="1" t="str">
        <f t="shared" ca="1" si="142"/>
        <v>Office Chair</v>
      </c>
      <c r="O391" s="1">
        <f t="shared" ca="1" si="143"/>
        <v>23795</v>
      </c>
      <c r="P391" s="1">
        <f t="shared" ca="1" si="144"/>
        <v>10</v>
      </c>
      <c r="Q391" s="19">
        <f t="shared" ca="1" si="145"/>
        <v>0.2</v>
      </c>
      <c r="R391" s="1">
        <f t="shared" ca="1" si="146"/>
        <v>-475.90000000000043</v>
      </c>
      <c r="S391" s="1">
        <f t="shared" ca="1" si="130"/>
        <v>1</v>
      </c>
      <c r="T391" s="19">
        <f t="shared" ca="1" si="131"/>
        <v>-2.0000000000000018E-2</v>
      </c>
      <c r="U391" s="1" t="str">
        <f t="shared" ca="1" si="132"/>
        <v>High Discount</v>
      </c>
    </row>
    <row r="392" spans="1:21" ht="15.6" customHeight="1" x14ac:dyDescent="0.3">
      <c r="A392" s="1" t="str">
        <f t="shared" si="127"/>
        <v>ORD-391</v>
      </c>
      <c r="B392" s="10">
        <f t="shared" ca="1" si="128"/>
        <v>45637</v>
      </c>
      <c r="C392" s="7">
        <f t="shared" ca="1" si="129"/>
        <v>45639</v>
      </c>
      <c r="D392" s="1" t="str">
        <f t="shared" ca="1" si="126"/>
        <v>Same Day</v>
      </c>
      <c r="E392" s="1" t="str">
        <f t="shared" ca="1" si="133"/>
        <v>CU-392</v>
      </c>
      <c r="F392" s="1" t="str">
        <f t="shared" ca="1" si="134"/>
        <v>Sunil Kumar</v>
      </c>
      <c r="G392" s="1" t="str">
        <f t="shared" ca="1" si="135"/>
        <v>Consumer</v>
      </c>
      <c r="H392" s="1" t="str">
        <f t="shared" si="136"/>
        <v>India</v>
      </c>
      <c r="I392" s="1" t="str">
        <f t="shared" ca="1" si="137"/>
        <v>East</v>
      </c>
      <c r="J392" s="1" t="str">
        <f t="shared" ca="1" si="138"/>
        <v>Tamil Nadu</v>
      </c>
      <c r="K392" s="1" t="str">
        <f t="shared" ca="1" si="139"/>
        <v>Bangalore</v>
      </c>
      <c r="L392" s="1" t="str">
        <f t="shared" ca="1" si="140"/>
        <v>Office Supplies</v>
      </c>
      <c r="M392" s="1" t="str">
        <f t="shared" ca="1" si="141"/>
        <v>Chair</v>
      </c>
      <c r="N392" s="1" t="str">
        <f t="shared" ca="1" si="142"/>
        <v>Samsung Galaxy</v>
      </c>
      <c r="O392" s="1">
        <f t="shared" ca="1" si="143"/>
        <v>42898</v>
      </c>
      <c r="P392" s="1">
        <f t="shared" ca="1" si="144"/>
        <v>6</v>
      </c>
      <c r="Q392" s="19">
        <f t="shared" ca="1" si="145"/>
        <v>0.3</v>
      </c>
      <c r="R392" s="1">
        <f t="shared" ca="1" si="146"/>
        <v>-5147.76</v>
      </c>
      <c r="S392" s="1">
        <f t="shared" ca="1" si="130"/>
        <v>2</v>
      </c>
      <c r="T392" s="19">
        <f t="shared" ca="1" si="131"/>
        <v>-0.12000000000000001</v>
      </c>
      <c r="U392" s="1" t="str">
        <f t="shared" ca="1" si="132"/>
        <v>High Discount</v>
      </c>
    </row>
    <row r="393" spans="1:21" ht="15.6" customHeight="1" x14ac:dyDescent="0.3">
      <c r="A393" s="1" t="str">
        <f t="shared" si="127"/>
        <v>ORD-392</v>
      </c>
      <c r="B393" s="10">
        <f t="shared" ca="1" si="128"/>
        <v>45341</v>
      </c>
      <c r="C393" s="7">
        <f t="shared" ca="1" si="129"/>
        <v>45345</v>
      </c>
      <c r="D393" s="1" t="str">
        <f t="shared" ref="D393:D456" ca="1" si="147">CHOOSE(RANDBETWEEN(1,3),"Standard Class","Second Class","Same Day")</f>
        <v>Standard Class</v>
      </c>
      <c r="E393" s="1" t="str">
        <f t="shared" ca="1" si="133"/>
        <v>CU-326</v>
      </c>
      <c r="F393" s="1" t="str">
        <f t="shared" ca="1" si="134"/>
        <v>Sunil Kumar</v>
      </c>
      <c r="G393" s="1" t="str">
        <f t="shared" ca="1" si="135"/>
        <v>Home Office</v>
      </c>
      <c r="H393" s="1" t="str">
        <f t="shared" si="136"/>
        <v>India</v>
      </c>
      <c r="I393" s="1" t="str">
        <f t="shared" ca="1" si="137"/>
        <v>South</v>
      </c>
      <c r="J393" s="1" t="str">
        <f t="shared" ca="1" si="138"/>
        <v>Maharashtra</v>
      </c>
      <c r="K393" s="1" t="str">
        <f t="shared" ca="1" si="139"/>
        <v>Kolkata</v>
      </c>
      <c r="L393" s="1" t="str">
        <f t="shared" ca="1" si="140"/>
        <v>Technology</v>
      </c>
      <c r="M393" s="1" t="str">
        <f t="shared" ca="1" si="141"/>
        <v>Chair</v>
      </c>
      <c r="N393" s="1" t="str">
        <f t="shared" ca="1" si="142"/>
        <v>HP Pavilion</v>
      </c>
      <c r="O393" s="1">
        <f t="shared" ca="1" si="143"/>
        <v>39802</v>
      </c>
      <c r="P393" s="1">
        <f t="shared" ca="1" si="144"/>
        <v>1</v>
      </c>
      <c r="Q393" s="19">
        <f t="shared" ca="1" si="145"/>
        <v>0.2</v>
      </c>
      <c r="R393" s="1">
        <f t="shared" ca="1" si="146"/>
        <v>-796.04000000000076</v>
      </c>
      <c r="S393" s="1">
        <f t="shared" ca="1" si="130"/>
        <v>4</v>
      </c>
      <c r="T393" s="19">
        <f t="shared" ca="1" si="131"/>
        <v>-2.0000000000000018E-2</v>
      </c>
      <c r="U393" s="1" t="str">
        <f t="shared" ca="1" si="132"/>
        <v>High Discount</v>
      </c>
    </row>
    <row r="394" spans="1:21" ht="15.6" customHeight="1" x14ac:dyDescent="0.3">
      <c r="A394" s="1" t="str">
        <f t="shared" si="127"/>
        <v>ORD-393</v>
      </c>
      <c r="B394" s="10">
        <f t="shared" ca="1" si="128"/>
        <v>45634</v>
      </c>
      <c r="C394" s="7">
        <f t="shared" ca="1" si="129"/>
        <v>45639</v>
      </c>
      <c r="D394" s="1" t="str">
        <f t="shared" ca="1" si="147"/>
        <v>Same Day</v>
      </c>
      <c r="E394" s="1" t="str">
        <f t="shared" ca="1" si="133"/>
        <v>CU-311</v>
      </c>
      <c r="F394" s="1" t="str">
        <f t="shared" ca="1" si="134"/>
        <v>Priya Singh</v>
      </c>
      <c r="G394" s="1" t="str">
        <f t="shared" ca="1" si="135"/>
        <v>Consumer</v>
      </c>
      <c r="H394" s="1" t="str">
        <f t="shared" si="136"/>
        <v>India</v>
      </c>
      <c r="I394" s="1" t="str">
        <f t="shared" ca="1" si="137"/>
        <v>North</v>
      </c>
      <c r="J394" s="1" t="str">
        <f t="shared" ca="1" si="138"/>
        <v>Tamil Nadu</v>
      </c>
      <c r="K394" s="1" t="str">
        <f t="shared" ca="1" si="139"/>
        <v>Delhi</v>
      </c>
      <c r="L394" s="1" t="str">
        <f t="shared" ca="1" si="140"/>
        <v>Technology</v>
      </c>
      <c r="M394" s="1" t="str">
        <f t="shared" ca="1" si="141"/>
        <v>Chair</v>
      </c>
      <c r="N394" s="1" t="str">
        <f t="shared" ca="1" si="142"/>
        <v>HP Pavilion</v>
      </c>
      <c r="O394" s="1">
        <f t="shared" ca="1" si="143"/>
        <v>4643</v>
      </c>
      <c r="P394" s="1">
        <f t="shared" ca="1" si="144"/>
        <v>9</v>
      </c>
      <c r="Q394" s="19">
        <f t="shared" ca="1" si="145"/>
        <v>0</v>
      </c>
      <c r="R394" s="1">
        <f t="shared" ca="1" si="146"/>
        <v>835.74</v>
      </c>
      <c r="S394" s="1">
        <f t="shared" ca="1" si="130"/>
        <v>5</v>
      </c>
      <c r="T394" s="19">
        <f t="shared" ca="1" si="131"/>
        <v>0.18</v>
      </c>
      <c r="U394" s="1" t="str">
        <f t="shared" ca="1" si="132"/>
        <v>Low Discount</v>
      </c>
    </row>
    <row r="395" spans="1:21" ht="15.6" customHeight="1" x14ac:dyDescent="0.3">
      <c r="A395" s="1" t="str">
        <f t="shared" si="127"/>
        <v>ORD-394</v>
      </c>
      <c r="B395" s="10">
        <f t="shared" ca="1" si="128"/>
        <v>45462</v>
      </c>
      <c r="C395" s="7">
        <f t="shared" ca="1" si="129"/>
        <v>45464</v>
      </c>
      <c r="D395" s="1" t="str">
        <f t="shared" ca="1" si="147"/>
        <v>Second Class</v>
      </c>
      <c r="E395" s="1" t="str">
        <f t="shared" ca="1" si="133"/>
        <v>CU-446</v>
      </c>
      <c r="F395" s="1" t="str">
        <f t="shared" ca="1" si="134"/>
        <v>Amit Verma</v>
      </c>
      <c r="G395" s="1" t="str">
        <f t="shared" ca="1" si="135"/>
        <v>Home Office</v>
      </c>
      <c r="H395" s="1" t="str">
        <f t="shared" si="136"/>
        <v>India</v>
      </c>
      <c r="I395" s="1" t="str">
        <f t="shared" ca="1" si="137"/>
        <v>West</v>
      </c>
      <c r="J395" s="1" t="str">
        <f t="shared" ca="1" si="138"/>
        <v>Maharashtra</v>
      </c>
      <c r="K395" s="1" t="str">
        <f t="shared" ca="1" si="139"/>
        <v>Delhi</v>
      </c>
      <c r="L395" s="1" t="str">
        <f t="shared" ca="1" si="140"/>
        <v>Technology</v>
      </c>
      <c r="M395" s="1" t="str">
        <f t="shared" ca="1" si="141"/>
        <v>Mobile</v>
      </c>
      <c r="N395" s="1" t="str">
        <f t="shared" ca="1" si="142"/>
        <v>A4 Paper</v>
      </c>
      <c r="O395" s="1">
        <f t="shared" ca="1" si="143"/>
        <v>12334</v>
      </c>
      <c r="P395" s="1">
        <f t="shared" ca="1" si="144"/>
        <v>6</v>
      </c>
      <c r="Q395" s="19">
        <f t="shared" ca="1" si="145"/>
        <v>0.1</v>
      </c>
      <c r="R395" s="1">
        <f t="shared" ca="1" si="146"/>
        <v>986.7199999999998</v>
      </c>
      <c r="S395" s="1">
        <f t="shared" ca="1" si="130"/>
        <v>2</v>
      </c>
      <c r="T395" s="19">
        <f t="shared" ca="1" si="131"/>
        <v>7.9999999999999988E-2</v>
      </c>
      <c r="U395" s="1" t="str">
        <f t="shared" ca="1" si="132"/>
        <v>Low Discount</v>
      </c>
    </row>
    <row r="396" spans="1:21" ht="15.6" customHeight="1" x14ac:dyDescent="0.3">
      <c r="A396" s="1" t="str">
        <f t="shared" si="127"/>
        <v>ORD-395</v>
      </c>
      <c r="B396" s="10">
        <f t="shared" ca="1" si="128"/>
        <v>45527</v>
      </c>
      <c r="C396" s="7">
        <f t="shared" ca="1" si="129"/>
        <v>45532</v>
      </c>
      <c r="D396" s="1" t="str">
        <f t="shared" ca="1" si="147"/>
        <v>Standard Class</v>
      </c>
      <c r="E396" s="1" t="str">
        <f t="shared" ca="1" si="133"/>
        <v>CU-349</v>
      </c>
      <c r="F396" s="1" t="str">
        <f t="shared" ca="1" si="134"/>
        <v>Ravi Mehta</v>
      </c>
      <c r="G396" s="1" t="str">
        <f t="shared" ca="1" si="135"/>
        <v>Corporate</v>
      </c>
      <c r="H396" s="1" t="str">
        <f t="shared" si="136"/>
        <v>India</v>
      </c>
      <c r="I396" s="1" t="str">
        <f t="shared" ca="1" si="137"/>
        <v>East</v>
      </c>
      <c r="J396" s="1" t="str">
        <f t="shared" ca="1" si="138"/>
        <v>Maharashtra</v>
      </c>
      <c r="K396" s="1" t="str">
        <f t="shared" ca="1" si="139"/>
        <v>Bangalore</v>
      </c>
      <c r="L396" s="1" t="str">
        <f t="shared" ca="1" si="140"/>
        <v>Furniture</v>
      </c>
      <c r="M396" s="1" t="str">
        <f t="shared" ca="1" si="141"/>
        <v>Table</v>
      </c>
      <c r="N396" s="1" t="str">
        <f t="shared" ca="1" si="142"/>
        <v>Office Chair</v>
      </c>
      <c r="O396" s="1">
        <f t="shared" ca="1" si="143"/>
        <v>58375</v>
      </c>
      <c r="P396" s="1">
        <f t="shared" ca="1" si="144"/>
        <v>6</v>
      </c>
      <c r="Q396" s="19">
        <f t="shared" ca="1" si="145"/>
        <v>0.2</v>
      </c>
      <c r="R396" s="1">
        <f t="shared" ca="1" si="146"/>
        <v>-1167.5000000000011</v>
      </c>
      <c r="S396" s="1">
        <f t="shared" ca="1" si="130"/>
        <v>5</v>
      </c>
      <c r="T396" s="19">
        <f t="shared" ca="1" si="131"/>
        <v>-2.0000000000000018E-2</v>
      </c>
      <c r="U396" s="1" t="str">
        <f t="shared" ca="1" si="132"/>
        <v>High Discount</v>
      </c>
    </row>
    <row r="397" spans="1:21" ht="15.6" customHeight="1" x14ac:dyDescent="0.3">
      <c r="A397" s="1" t="str">
        <f t="shared" si="127"/>
        <v>ORD-396</v>
      </c>
      <c r="B397" s="10">
        <f t="shared" ca="1" si="128"/>
        <v>45446</v>
      </c>
      <c r="C397" s="7">
        <f t="shared" ca="1" si="129"/>
        <v>45446</v>
      </c>
      <c r="D397" s="1" t="str">
        <f t="shared" ca="1" si="147"/>
        <v>Same Day</v>
      </c>
      <c r="E397" s="1" t="str">
        <f t="shared" ca="1" si="133"/>
        <v>CU-981</v>
      </c>
      <c r="F397" s="1" t="str">
        <f t="shared" ca="1" si="134"/>
        <v>Sunil Kumar</v>
      </c>
      <c r="G397" s="1" t="str">
        <f t="shared" ca="1" si="135"/>
        <v>Consumer</v>
      </c>
      <c r="H397" s="1" t="str">
        <f t="shared" si="136"/>
        <v>India</v>
      </c>
      <c r="I397" s="1" t="str">
        <f t="shared" ca="1" si="137"/>
        <v>West</v>
      </c>
      <c r="J397" s="1" t="str">
        <f t="shared" ca="1" si="138"/>
        <v>Delhi</v>
      </c>
      <c r="K397" s="1" t="str">
        <f t="shared" ca="1" si="139"/>
        <v>Mumbai</v>
      </c>
      <c r="L397" s="1" t="str">
        <f t="shared" ca="1" si="140"/>
        <v>Technology</v>
      </c>
      <c r="M397" s="1" t="str">
        <f t="shared" ca="1" si="141"/>
        <v>Mobile</v>
      </c>
      <c r="N397" s="1" t="str">
        <f t="shared" ca="1" si="142"/>
        <v>A4 Paper</v>
      </c>
      <c r="O397" s="1">
        <f t="shared" ca="1" si="143"/>
        <v>51222</v>
      </c>
      <c r="P397" s="1">
        <f t="shared" ca="1" si="144"/>
        <v>4</v>
      </c>
      <c r="Q397" s="19">
        <f t="shared" ca="1" si="145"/>
        <v>0.3</v>
      </c>
      <c r="R397" s="1">
        <f t="shared" ca="1" si="146"/>
        <v>-6146.6399999999994</v>
      </c>
      <c r="S397" s="1">
        <f t="shared" ca="1" si="130"/>
        <v>0</v>
      </c>
      <c r="T397" s="19">
        <f t="shared" ca="1" si="131"/>
        <v>-0.12</v>
      </c>
      <c r="U397" s="1" t="str">
        <f t="shared" ca="1" si="132"/>
        <v>High Discount</v>
      </c>
    </row>
    <row r="398" spans="1:21" ht="15.6" customHeight="1" x14ac:dyDescent="0.3">
      <c r="A398" s="1" t="str">
        <f t="shared" si="127"/>
        <v>ORD-397</v>
      </c>
      <c r="B398" s="10">
        <f t="shared" ca="1" si="128"/>
        <v>45623</v>
      </c>
      <c r="C398" s="7">
        <f t="shared" ca="1" si="129"/>
        <v>45623</v>
      </c>
      <c r="D398" s="1" t="str">
        <f t="shared" ca="1" si="147"/>
        <v>Standard Class</v>
      </c>
      <c r="E398" s="1" t="str">
        <f t="shared" ca="1" si="133"/>
        <v>CU-308</v>
      </c>
      <c r="F398" s="1" t="str">
        <f t="shared" ca="1" si="134"/>
        <v>Rahul Sharma</v>
      </c>
      <c r="G398" s="1" t="str">
        <f t="shared" ca="1" si="135"/>
        <v>Corporate</v>
      </c>
      <c r="H398" s="1" t="str">
        <f t="shared" si="136"/>
        <v>India</v>
      </c>
      <c r="I398" s="1" t="str">
        <f t="shared" ca="1" si="137"/>
        <v>East</v>
      </c>
      <c r="J398" s="1" t="str">
        <f t="shared" ca="1" si="138"/>
        <v>Karnataka</v>
      </c>
      <c r="K398" s="1" t="str">
        <f t="shared" ca="1" si="139"/>
        <v>Bangalore</v>
      </c>
      <c r="L398" s="1" t="str">
        <f t="shared" ca="1" si="140"/>
        <v>Furniture</v>
      </c>
      <c r="M398" s="1" t="str">
        <f t="shared" ca="1" si="141"/>
        <v>Mobile</v>
      </c>
      <c r="N398" s="1" t="str">
        <f t="shared" ca="1" si="142"/>
        <v>Samsung Galaxy</v>
      </c>
      <c r="O398" s="1">
        <f t="shared" ca="1" si="143"/>
        <v>21110</v>
      </c>
      <c r="P398" s="1">
        <f t="shared" ca="1" si="144"/>
        <v>2</v>
      </c>
      <c r="Q398" s="19">
        <f t="shared" ca="1" si="145"/>
        <v>0.1</v>
      </c>
      <c r="R398" s="1">
        <f t="shared" ca="1" si="146"/>
        <v>1688.7999999999997</v>
      </c>
      <c r="S398" s="1">
        <f t="shared" ca="1" si="130"/>
        <v>0</v>
      </c>
      <c r="T398" s="19">
        <f t="shared" ca="1" si="131"/>
        <v>7.9999999999999988E-2</v>
      </c>
      <c r="U398" s="1" t="str">
        <f t="shared" ca="1" si="132"/>
        <v>Low Discount</v>
      </c>
    </row>
    <row r="399" spans="1:21" ht="15.6" customHeight="1" x14ac:dyDescent="0.3">
      <c r="A399" s="1" t="str">
        <f t="shared" si="127"/>
        <v>ORD-398</v>
      </c>
      <c r="B399" s="10">
        <f t="shared" ca="1" si="128"/>
        <v>45501</v>
      </c>
      <c r="C399" s="7">
        <f t="shared" ca="1" si="129"/>
        <v>45506</v>
      </c>
      <c r="D399" s="1" t="str">
        <f t="shared" ca="1" si="147"/>
        <v>Standard Class</v>
      </c>
      <c r="E399" s="1" t="str">
        <f t="shared" ca="1" si="133"/>
        <v>CU-414</v>
      </c>
      <c r="F399" s="1" t="str">
        <f t="shared" ca="1" si="134"/>
        <v>Arjun Malhotra</v>
      </c>
      <c r="G399" s="1" t="str">
        <f t="shared" ca="1" si="135"/>
        <v>Corporate</v>
      </c>
      <c r="H399" s="1" t="str">
        <f t="shared" si="136"/>
        <v>India</v>
      </c>
      <c r="I399" s="1" t="str">
        <f t="shared" ca="1" si="137"/>
        <v>East</v>
      </c>
      <c r="J399" s="1" t="str">
        <f t="shared" ca="1" si="138"/>
        <v>West Bengal</v>
      </c>
      <c r="K399" s="1" t="str">
        <f t="shared" ca="1" si="139"/>
        <v>Mumbai</v>
      </c>
      <c r="L399" s="1" t="str">
        <f t="shared" ca="1" si="140"/>
        <v>Technology</v>
      </c>
      <c r="M399" s="1" t="str">
        <f t="shared" ca="1" si="141"/>
        <v>Laptop</v>
      </c>
      <c r="N399" s="1" t="str">
        <f t="shared" ca="1" si="142"/>
        <v>Office Chair</v>
      </c>
      <c r="O399" s="1">
        <f t="shared" ca="1" si="143"/>
        <v>13111</v>
      </c>
      <c r="P399" s="1">
        <f t="shared" ca="1" si="144"/>
        <v>5</v>
      </c>
      <c r="Q399" s="19">
        <f t="shared" ca="1" si="145"/>
        <v>0.1</v>
      </c>
      <c r="R399" s="1">
        <f t="shared" ca="1" si="146"/>
        <v>1048.8799999999999</v>
      </c>
      <c r="S399" s="1">
        <f t="shared" ca="1" si="130"/>
        <v>5</v>
      </c>
      <c r="T399" s="19">
        <f t="shared" ca="1" si="131"/>
        <v>7.9999999999999988E-2</v>
      </c>
      <c r="U399" s="1" t="str">
        <f t="shared" ca="1" si="132"/>
        <v>Low Discount</v>
      </c>
    </row>
    <row r="400" spans="1:21" ht="15.6" customHeight="1" x14ac:dyDescent="0.3">
      <c r="A400" s="1" t="str">
        <f t="shared" si="127"/>
        <v>ORD-399</v>
      </c>
      <c r="B400" s="10">
        <f t="shared" ca="1" si="128"/>
        <v>45561</v>
      </c>
      <c r="C400" s="7">
        <f t="shared" ca="1" si="129"/>
        <v>45566</v>
      </c>
      <c r="D400" s="1" t="str">
        <f t="shared" ca="1" si="147"/>
        <v>Same Day</v>
      </c>
      <c r="E400" s="1" t="str">
        <f t="shared" ca="1" si="133"/>
        <v>CU-603</v>
      </c>
      <c r="F400" s="1" t="str">
        <f t="shared" ca="1" si="134"/>
        <v>Sunil Kumar</v>
      </c>
      <c r="G400" s="1" t="str">
        <f t="shared" ca="1" si="135"/>
        <v>Home Office</v>
      </c>
      <c r="H400" s="1" t="str">
        <f t="shared" si="136"/>
        <v>India</v>
      </c>
      <c r="I400" s="1" t="str">
        <f t="shared" ca="1" si="137"/>
        <v>East</v>
      </c>
      <c r="J400" s="1" t="str">
        <f t="shared" ca="1" si="138"/>
        <v>Gujarat</v>
      </c>
      <c r="K400" s="1" t="str">
        <f t="shared" ca="1" si="139"/>
        <v>Bangalore</v>
      </c>
      <c r="L400" s="1" t="str">
        <f t="shared" ca="1" si="140"/>
        <v>Technology</v>
      </c>
      <c r="M400" s="1" t="str">
        <f t="shared" ca="1" si="141"/>
        <v>Laptop</v>
      </c>
      <c r="N400" s="1" t="str">
        <f t="shared" ca="1" si="142"/>
        <v>Wireless Mouse</v>
      </c>
      <c r="O400" s="1">
        <f t="shared" ca="1" si="143"/>
        <v>7885</v>
      </c>
      <c r="P400" s="1">
        <f t="shared" ca="1" si="144"/>
        <v>3</v>
      </c>
      <c r="Q400" s="19">
        <f t="shared" ca="1" si="145"/>
        <v>0.3</v>
      </c>
      <c r="R400" s="1">
        <f t="shared" ca="1" si="146"/>
        <v>-946.19999999999993</v>
      </c>
      <c r="S400" s="1">
        <f t="shared" ca="1" si="130"/>
        <v>5</v>
      </c>
      <c r="T400" s="19">
        <f t="shared" ca="1" si="131"/>
        <v>-0.12</v>
      </c>
      <c r="U400" s="1" t="str">
        <f t="shared" ca="1" si="132"/>
        <v>High Discount</v>
      </c>
    </row>
    <row r="401" spans="1:21" ht="15.6" customHeight="1" x14ac:dyDescent="0.3">
      <c r="A401" s="1" t="str">
        <f t="shared" si="127"/>
        <v>ORD-400</v>
      </c>
      <c r="B401" s="10">
        <f t="shared" ca="1" si="128"/>
        <v>45613</v>
      </c>
      <c r="C401" s="7">
        <f t="shared" ca="1" si="129"/>
        <v>45616</v>
      </c>
      <c r="D401" s="1" t="str">
        <f t="shared" ca="1" si="147"/>
        <v>Standard Class</v>
      </c>
      <c r="E401" s="1" t="str">
        <f t="shared" ca="1" si="133"/>
        <v>CU-891</v>
      </c>
      <c r="F401" s="1" t="str">
        <f t="shared" ca="1" si="134"/>
        <v>Amit Verma</v>
      </c>
      <c r="G401" s="1" t="str">
        <f t="shared" ca="1" si="135"/>
        <v>Corporate</v>
      </c>
      <c r="H401" s="1" t="str">
        <f t="shared" si="136"/>
        <v>India</v>
      </c>
      <c r="I401" s="1" t="str">
        <f t="shared" ca="1" si="137"/>
        <v>East</v>
      </c>
      <c r="J401" s="1" t="str">
        <f t="shared" ca="1" si="138"/>
        <v>West Bengal</v>
      </c>
      <c r="K401" s="1" t="str">
        <f t="shared" ca="1" si="139"/>
        <v>Delhi</v>
      </c>
      <c r="L401" s="1" t="str">
        <f t="shared" ca="1" si="140"/>
        <v>Office Supplies</v>
      </c>
      <c r="M401" s="1" t="str">
        <f t="shared" ca="1" si="141"/>
        <v>Paper</v>
      </c>
      <c r="N401" s="1" t="str">
        <f t="shared" ca="1" si="142"/>
        <v>HP Pavilion</v>
      </c>
      <c r="O401" s="1">
        <f t="shared" ca="1" si="143"/>
        <v>30987</v>
      </c>
      <c r="P401" s="1">
        <f t="shared" ca="1" si="144"/>
        <v>4</v>
      </c>
      <c r="Q401" s="19">
        <f t="shared" ca="1" si="145"/>
        <v>0.05</v>
      </c>
      <c r="R401" s="1">
        <f t="shared" ca="1" si="146"/>
        <v>4028.31</v>
      </c>
      <c r="S401" s="1">
        <f t="shared" ca="1" si="130"/>
        <v>3</v>
      </c>
      <c r="T401" s="19">
        <f t="shared" ca="1" si="131"/>
        <v>0.13</v>
      </c>
      <c r="U401" s="1" t="str">
        <f t="shared" ca="1" si="132"/>
        <v>Low Discount</v>
      </c>
    </row>
    <row r="402" spans="1:21" ht="15.6" customHeight="1" x14ac:dyDescent="0.3">
      <c r="A402" s="1" t="str">
        <f t="shared" si="127"/>
        <v>ORD-401</v>
      </c>
      <c r="B402" s="10">
        <f t="shared" ca="1" si="128"/>
        <v>45372</v>
      </c>
      <c r="C402" s="7">
        <f t="shared" ca="1" si="129"/>
        <v>45374</v>
      </c>
      <c r="D402" s="1" t="str">
        <f t="shared" ca="1" si="147"/>
        <v>Standard Class</v>
      </c>
      <c r="E402" s="1" t="str">
        <f t="shared" ca="1" si="133"/>
        <v>CU-654</v>
      </c>
      <c r="F402" s="1" t="str">
        <f t="shared" ca="1" si="134"/>
        <v>Priya Singh</v>
      </c>
      <c r="G402" s="1" t="str">
        <f t="shared" ca="1" si="135"/>
        <v>Home Office</v>
      </c>
      <c r="H402" s="1" t="str">
        <f t="shared" si="136"/>
        <v>India</v>
      </c>
      <c r="I402" s="1" t="str">
        <f t="shared" ca="1" si="137"/>
        <v>East</v>
      </c>
      <c r="J402" s="1" t="str">
        <f t="shared" ca="1" si="138"/>
        <v>Tamil Nadu</v>
      </c>
      <c r="K402" s="1" t="str">
        <f t="shared" ca="1" si="139"/>
        <v>Chennai</v>
      </c>
      <c r="L402" s="1" t="str">
        <f t="shared" ca="1" si="140"/>
        <v>Technology</v>
      </c>
      <c r="M402" s="1" t="str">
        <f t="shared" ca="1" si="141"/>
        <v>Laptop</v>
      </c>
      <c r="N402" s="1" t="str">
        <f t="shared" ca="1" si="142"/>
        <v>Office Chair</v>
      </c>
      <c r="O402" s="1">
        <f t="shared" ca="1" si="143"/>
        <v>10320</v>
      </c>
      <c r="P402" s="1">
        <f t="shared" ca="1" si="144"/>
        <v>2</v>
      </c>
      <c r="Q402" s="19">
        <f t="shared" ca="1" si="145"/>
        <v>0</v>
      </c>
      <c r="R402" s="1">
        <f t="shared" ca="1" si="146"/>
        <v>1857.6</v>
      </c>
      <c r="S402" s="1">
        <f t="shared" ca="1" si="130"/>
        <v>2</v>
      </c>
      <c r="T402" s="19">
        <f t="shared" ca="1" si="131"/>
        <v>0.18</v>
      </c>
      <c r="U402" s="1" t="str">
        <f t="shared" ca="1" si="132"/>
        <v>Low Discount</v>
      </c>
    </row>
    <row r="403" spans="1:21" ht="15.6" customHeight="1" x14ac:dyDescent="0.3">
      <c r="A403" s="1" t="str">
        <f t="shared" si="127"/>
        <v>ORD-402</v>
      </c>
      <c r="B403" s="10">
        <f t="shared" ca="1" si="128"/>
        <v>45627</v>
      </c>
      <c r="C403" s="7">
        <f t="shared" ca="1" si="129"/>
        <v>45627</v>
      </c>
      <c r="D403" s="1" t="str">
        <f t="shared" ca="1" si="147"/>
        <v>Standard Class</v>
      </c>
      <c r="E403" s="1" t="str">
        <f t="shared" ca="1" si="133"/>
        <v>CU-386</v>
      </c>
      <c r="F403" s="1" t="str">
        <f t="shared" ca="1" si="134"/>
        <v>Pooja Yadav</v>
      </c>
      <c r="G403" s="1" t="str">
        <f t="shared" ca="1" si="135"/>
        <v>Home Office</v>
      </c>
      <c r="H403" s="1" t="str">
        <f t="shared" si="136"/>
        <v>India</v>
      </c>
      <c r="I403" s="1" t="str">
        <f t="shared" ca="1" si="137"/>
        <v>East</v>
      </c>
      <c r="J403" s="1" t="str">
        <f t="shared" ca="1" si="138"/>
        <v>Delhi</v>
      </c>
      <c r="K403" s="1" t="str">
        <f t="shared" ca="1" si="139"/>
        <v>Bangalore</v>
      </c>
      <c r="L403" s="1" t="str">
        <f t="shared" ca="1" si="140"/>
        <v>Technology</v>
      </c>
      <c r="M403" s="1" t="str">
        <f t="shared" ca="1" si="141"/>
        <v>Paper</v>
      </c>
      <c r="N403" s="1" t="str">
        <f t="shared" ca="1" si="142"/>
        <v>HP Pavilion</v>
      </c>
      <c r="O403" s="1">
        <f t="shared" ca="1" si="143"/>
        <v>20476</v>
      </c>
      <c r="P403" s="1">
        <f t="shared" ca="1" si="144"/>
        <v>1</v>
      </c>
      <c r="Q403" s="19">
        <f t="shared" ca="1" si="145"/>
        <v>0.05</v>
      </c>
      <c r="R403" s="1">
        <f t="shared" ca="1" si="146"/>
        <v>2661.88</v>
      </c>
      <c r="S403" s="1">
        <f t="shared" ca="1" si="130"/>
        <v>0</v>
      </c>
      <c r="T403" s="19">
        <f t="shared" ca="1" si="131"/>
        <v>0.13</v>
      </c>
      <c r="U403" s="1" t="str">
        <f t="shared" ca="1" si="132"/>
        <v>Low Discount</v>
      </c>
    </row>
    <row r="404" spans="1:21" ht="15.6" customHeight="1" x14ac:dyDescent="0.3">
      <c r="A404" s="1" t="str">
        <f t="shared" si="127"/>
        <v>ORD-403</v>
      </c>
      <c r="B404" s="10">
        <f t="shared" ca="1" si="128"/>
        <v>45377</v>
      </c>
      <c r="C404" s="7">
        <f t="shared" ca="1" si="129"/>
        <v>45378</v>
      </c>
      <c r="D404" s="1" t="str">
        <f t="shared" ca="1" si="147"/>
        <v>Standard Class</v>
      </c>
      <c r="E404" s="1" t="str">
        <f t="shared" ca="1" si="133"/>
        <v>CU-767</v>
      </c>
      <c r="F404" s="1" t="str">
        <f t="shared" ca="1" si="134"/>
        <v>Arjun Malhotra</v>
      </c>
      <c r="G404" s="1" t="str">
        <f t="shared" ca="1" si="135"/>
        <v>Home Office</v>
      </c>
      <c r="H404" s="1" t="str">
        <f t="shared" si="136"/>
        <v>India</v>
      </c>
      <c r="I404" s="1" t="str">
        <f t="shared" ca="1" si="137"/>
        <v>East</v>
      </c>
      <c r="J404" s="1" t="str">
        <f t="shared" ca="1" si="138"/>
        <v>Delhi</v>
      </c>
      <c r="K404" s="1" t="str">
        <f t="shared" ca="1" si="139"/>
        <v>Bangalore</v>
      </c>
      <c r="L404" s="1" t="str">
        <f t="shared" ca="1" si="140"/>
        <v>Technology</v>
      </c>
      <c r="M404" s="1" t="str">
        <f t="shared" ca="1" si="141"/>
        <v>Laptop</v>
      </c>
      <c r="N404" s="1" t="str">
        <f t="shared" ca="1" si="142"/>
        <v>Office Table</v>
      </c>
      <c r="O404" s="1">
        <f t="shared" ca="1" si="143"/>
        <v>1426</v>
      </c>
      <c r="P404" s="1">
        <f t="shared" ca="1" si="144"/>
        <v>3</v>
      </c>
      <c r="Q404" s="19">
        <f t="shared" ca="1" si="145"/>
        <v>0.05</v>
      </c>
      <c r="R404" s="1">
        <f t="shared" ca="1" si="146"/>
        <v>185.38</v>
      </c>
      <c r="S404" s="1">
        <f t="shared" ca="1" si="130"/>
        <v>1</v>
      </c>
      <c r="T404" s="19">
        <f t="shared" ca="1" si="131"/>
        <v>0.13</v>
      </c>
      <c r="U404" s="1" t="str">
        <f t="shared" ca="1" si="132"/>
        <v>Low Discount</v>
      </c>
    </row>
    <row r="405" spans="1:21" ht="15.6" customHeight="1" x14ac:dyDescent="0.3">
      <c r="A405" s="1" t="str">
        <f t="shared" si="127"/>
        <v>ORD-404</v>
      </c>
      <c r="B405" s="10">
        <f t="shared" ca="1" si="128"/>
        <v>45509</v>
      </c>
      <c r="C405" s="7">
        <f t="shared" ca="1" si="129"/>
        <v>45513</v>
      </c>
      <c r="D405" s="1" t="str">
        <f t="shared" ca="1" si="147"/>
        <v>Standard Class</v>
      </c>
      <c r="E405" s="1" t="str">
        <f t="shared" ca="1" si="133"/>
        <v>CU-353</v>
      </c>
      <c r="F405" s="1" t="str">
        <f t="shared" ca="1" si="134"/>
        <v>Pooja Yadav</v>
      </c>
      <c r="G405" s="1" t="str">
        <f t="shared" ca="1" si="135"/>
        <v>Corporate</v>
      </c>
      <c r="H405" s="1" t="str">
        <f t="shared" si="136"/>
        <v>India</v>
      </c>
      <c r="I405" s="1" t="str">
        <f t="shared" ca="1" si="137"/>
        <v>North</v>
      </c>
      <c r="J405" s="1" t="str">
        <f t="shared" ca="1" si="138"/>
        <v>West Bengal</v>
      </c>
      <c r="K405" s="1" t="str">
        <f t="shared" ca="1" si="139"/>
        <v>Delhi</v>
      </c>
      <c r="L405" s="1" t="str">
        <f t="shared" ca="1" si="140"/>
        <v>Furniture</v>
      </c>
      <c r="M405" s="1" t="str">
        <f t="shared" ca="1" si="141"/>
        <v>Laptop</v>
      </c>
      <c r="N405" s="1" t="str">
        <f t="shared" ca="1" si="142"/>
        <v>Office Table</v>
      </c>
      <c r="O405" s="1">
        <f t="shared" ca="1" si="143"/>
        <v>28406</v>
      </c>
      <c r="P405" s="1">
        <f t="shared" ca="1" si="144"/>
        <v>7</v>
      </c>
      <c r="Q405" s="19">
        <f t="shared" ca="1" si="145"/>
        <v>0</v>
      </c>
      <c r="R405" s="1">
        <f t="shared" ca="1" si="146"/>
        <v>5113.08</v>
      </c>
      <c r="S405" s="1">
        <f t="shared" ca="1" si="130"/>
        <v>4</v>
      </c>
      <c r="T405" s="19">
        <f t="shared" ca="1" si="131"/>
        <v>0.18</v>
      </c>
      <c r="U405" s="1" t="str">
        <f t="shared" ca="1" si="132"/>
        <v>Low Discount</v>
      </c>
    </row>
    <row r="406" spans="1:21" ht="15.6" customHeight="1" x14ac:dyDescent="0.3">
      <c r="A406" s="1" t="str">
        <f t="shared" si="127"/>
        <v>ORD-405</v>
      </c>
      <c r="B406" s="10">
        <f t="shared" ca="1" si="128"/>
        <v>45628</v>
      </c>
      <c r="C406" s="7">
        <f t="shared" ca="1" si="129"/>
        <v>45628</v>
      </c>
      <c r="D406" s="1" t="str">
        <f t="shared" ca="1" si="147"/>
        <v>Same Day</v>
      </c>
      <c r="E406" s="1" t="str">
        <f t="shared" ca="1" si="133"/>
        <v>CU-742</v>
      </c>
      <c r="F406" s="1" t="str">
        <f t="shared" ca="1" si="134"/>
        <v>Rahul Sharma</v>
      </c>
      <c r="G406" s="1" t="str">
        <f t="shared" ca="1" si="135"/>
        <v>Home Office</v>
      </c>
      <c r="H406" s="1" t="str">
        <f t="shared" si="136"/>
        <v>India</v>
      </c>
      <c r="I406" s="1" t="str">
        <f t="shared" ca="1" si="137"/>
        <v>West</v>
      </c>
      <c r="J406" s="1" t="str">
        <f t="shared" ca="1" si="138"/>
        <v>Karnataka</v>
      </c>
      <c r="K406" s="1" t="str">
        <f t="shared" ca="1" si="139"/>
        <v>Kolkata</v>
      </c>
      <c r="L406" s="1" t="str">
        <f t="shared" ca="1" si="140"/>
        <v>Furniture</v>
      </c>
      <c r="M406" s="1" t="str">
        <f t="shared" ca="1" si="141"/>
        <v>Laptop</v>
      </c>
      <c r="N406" s="1" t="str">
        <f t="shared" ca="1" si="142"/>
        <v>A4 Paper</v>
      </c>
      <c r="O406" s="1">
        <f t="shared" ca="1" si="143"/>
        <v>51045</v>
      </c>
      <c r="P406" s="1">
        <f t="shared" ca="1" si="144"/>
        <v>7</v>
      </c>
      <c r="Q406" s="19">
        <f t="shared" ca="1" si="145"/>
        <v>0.3</v>
      </c>
      <c r="R406" s="1">
        <f t="shared" ca="1" si="146"/>
        <v>-6125.4</v>
      </c>
      <c r="S406" s="1">
        <f t="shared" ca="1" si="130"/>
        <v>0</v>
      </c>
      <c r="T406" s="19">
        <f t="shared" ca="1" si="131"/>
        <v>-0.12</v>
      </c>
      <c r="U406" s="1" t="str">
        <f t="shared" ca="1" si="132"/>
        <v>High Discount</v>
      </c>
    </row>
    <row r="407" spans="1:21" ht="15.6" customHeight="1" x14ac:dyDescent="0.3">
      <c r="A407" s="1" t="str">
        <f t="shared" si="127"/>
        <v>ORD-406</v>
      </c>
      <c r="B407" s="10">
        <f t="shared" ca="1" si="128"/>
        <v>45611</v>
      </c>
      <c r="C407" s="7">
        <f t="shared" ca="1" si="129"/>
        <v>45613</v>
      </c>
      <c r="D407" s="1" t="str">
        <f t="shared" ca="1" si="147"/>
        <v>Same Day</v>
      </c>
      <c r="E407" s="1" t="str">
        <f t="shared" ca="1" si="133"/>
        <v>CU-765</v>
      </c>
      <c r="F407" s="1" t="str">
        <f t="shared" ca="1" si="134"/>
        <v>Sunil Kumar</v>
      </c>
      <c r="G407" s="1" t="str">
        <f t="shared" ca="1" si="135"/>
        <v>Corporate</v>
      </c>
      <c r="H407" s="1" t="str">
        <f t="shared" si="136"/>
        <v>India</v>
      </c>
      <c r="I407" s="1" t="str">
        <f t="shared" ca="1" si="137"/>
        <v>South</v>
      </c>
      <c r="J407" s="1" t="str">
        <f t="shared" ca="1" si="138"/>
        <v>Delhi</v>
      </c>
      <c r="K407" s="1" t="str">
        <f t="shared" ca="1" si="139"/>
        <v>Chennai</v>
      </c>
      <c r="L407" s="1" t="str">
        <f t="shared" ca="1" si="140"/>
        <v>Technology</v>
      </c>
      <c r="M407" s="1" t="str">
        <f t="shared" ca="1" si="141"/>
        <v>Laptop</v>
      </c>
      <c r="N407" s="1" t="str">
        <f t="shared" ca="1" si="142"/>
        <v>HP Pavilion</v>
      </c>
      <c r="O407" s="1">
        <f t="shared" ca="1" si="143"/>
        <v>26335</v>
      </c>
      <c r="P407" s="1">
        <f t="shared" ca="1" si="144"/>
        <v>10</v>
      </c>
      <c r="Q407" s="19">
        <f t="shared" ca="1" si="145"/>
        <v>0.3</v>
      </c>
      <c r="R407" s="1">
        <f t="shared" ca="1" si="146"/>
        <v>-3160.2</v>
      </c>
      <c r="S407" s="1">
        <f t="shared" ca="1" si="130"/>
        <v>2</v>
      </c>
      <c r="T407" s="19">
        <f t="shared" ca="1" si="131"/>
        <v>-0.12</v>
      </c>
      <c r="U407" s="1" t="str">
        <f t="shared" ca="1" si="132"/>
        <v>High Discount</v>
      </c>
    </row>
    <row r="408" spans="1:21" ht="15.6" customHeight="1" x14ac:dyDescent="0.3">
      <c r="A408" s="1" t="str">
        <f t="shared" si="127"/>
        <v>ORD-407</v>
      </c>
      <c r="B408" s="10">
        <f t="shared" ca="1" si="128"/>
        <v>45555</v>
      </c>
      <c r="C408" s="7">
        <f t="shared" ca="1" si="129"/>
        <v>45559</v>
      </c>
      <c r="D408" s="1" t="str">
        <f t="shared" ca="1" si="147"/>
        <v>Second Class</v>
      </c>
      <c r="E408" s="1" t="str">
        <f t="shared" ca="1" si="133"/>
        <v>CU-829</v>
      </c>
      <c r="F408" s="1" t="str">
        <f t="shared" ca="1" si="134"/>
        <v>Pooja Yadav</v>
      </c>
      <c r="G408" s="1" t="str">
        <f t="shared" ca="1" si="135"/>
        <v>Corporate</v>
      </c>
      <c r="H408" s="1" t="str">
        <f t="shared" si="136"/>
        <v>India</v>
      </c>
      <c r="I408" s="1" t="str">
        <f t="shared" ca="1" si="137"/>
        <v>West</v>
      </c>
      <c r="J408" s="1" t="str">
        <f t="shared" ca="1" si="138"/>
        <v>Karnataka</v>
      </c>
      <c r="K408" s="1" t="str">
        <f t="shared" ca="1" si="139"/>
        <v>Kolkata</v>
      </c>
      <c r="L408" s="1" t="str">
        <f t="shared" ca="1" si="140"/>
        <v>Furniture</v>
      </c>
      <c r="M408" s="1" t="str">
        <f t="shared" ca="1" si="141"/>
        <v>Chair</v>
      </c>
      <c r="N408" s="1" t="str">
        <f t="shared" ca="1" si="142"/>
        <v>Wireless Mouse</v>
      </c>
      <c r="O408" s="1">
        <f t="shared" ca="1" si="143"/>
        <v>57810</v>
      </c>
      <c r="P408" s="1">
        <f t="shared" ca="1" si="144"/>
        <v>9</v>
      </c>
      <c r="Q408" s="19">
        <f t="shared" ca="1" si="145"/>
        <v>0.2</v>
      </c>
      <c r="R408" s="1">
        <f t="shared" ca="1" si="146"/>
        <v>-1156.200000000001</v>
      </c>
      <c r="S408" s="1">
        <f t="shared" ca="1" si="130"/>
        <v>4</v>
      </c>
      <c r="T408" s="19">
        <f t="shared" ca="1" si="131"/>
        <v>-2.0000000000000018E-2</v>
      </c>
      <c r="U408" s="1" t="str">
        <f t="shared" ca="1" si="132"/>
        <v>High Discount</v>
      </c>
    </row>
    <row r="409" spans="1:21" ht="15.6" customHeight="1" x14ac:dyDescent="0.3">
      <c r="A409" s="1" t="str">
        <f t="shared" si="127"/>
        <v>ORD-408</v>
      </c>
      <c r="B409" s="10">
        <f t="shared" ca="1" si="128"/>
        <v>45624</v>
      </c>
      <c r="C409" s="7">
        <f t="shared" ca="1" si="129"/>
        <v>45624</v>
      </c>
      <c r="D409" s="1" t="str">
        <f t="shared" ca="1" si="147"/>
        <v>Same Day</v>
      </c>
      <c r="E409" s="1" t="str">
        <f t="shared" ca="1" si="133"/>
        <v>CU-130</v>
      </c>
      <c r="F409" s="1" t="str">
        <f t="shared" ca="1" si="134"/>
        <v>Rahul Sharma</v>
      </c>
      <c r="G409" s="1" t="str">
        <f t="shared" ca="1" si="135"/>
        <v>Consumer</v>
      </c>
      <c r="H409" s="1" t="str">
        <f t="shared" si="136"/>
        <v>India</v>
      </c>
      <c r="I409" s="1" t="str">
        <f t="shared" ca="1" si="137"/>
        <v>East</v>
      </c>
      <c r="J409" s="1" t="str">
        <f t="shared" ca="1" si="138"/>
        <v>Karnataka</v>
      </c>
      <c r="K409" s="1" t="str">
        <f t="shared" ca="1" si="139"/>
        <v>Bangalore</v>
      </c>
      <c r="L409" s="1" t="str">
        <f t="shared" ca="1" si="140"/>
        <v>Office Supplies</v>
      </c>
      <c r="M409" s="1" t="str">
        <f t="shared" ca="1" si="141"/>
        <v>Paper</v>
      </c>
      <c r="N409" s="1" t="str">
        <f t="shared" ca="1" si="142"/>
        <v>HP Pavilion</v>
      </c>
      <c r="O409" s="1">
        <f t="shared" ca="1" si="143"/>
        <v>31917</v>
      </c>
      <c r="P409" s="1">
        <f t="shared" ca="1" si="144"/>
        <v>8</v>
      </c>
      <c r="Q409" s="19">
        <f t="shared" ca="1" si="145"/>
        <v>0.05</v>
      </c>
      <c r="R409" s="1">
        <f t="shared" ca="1" si="146"/>
        <v>4149.21</v>
      </c>
      <c r="S409" s="1">
        <f t="shared" ca="1" si="130"/>
        <v>0</v>
      </c>
      <c r="T409" s="19">
        <f t="shared" ca="1" si="131"/>
        <v>0.13</v>
      </c>
      <c r="U409" s="1" t="str">
        <f t="shared" ca="1" si="132"/>
        <v>Low Discount</v>
      </c>
    </row>
    <row r="410" spans="1:21" ht="15.6" customHeight="1" x14ac:dyDescent="0.3">
      <c r="A410" s="1" t="str">
        <f t="shared" si="127"/>
        <v>ORD-409</v>
      </c>
      <c r="B410" s="10">
        <f t="shared" ca="1" si="128"/>
        <v>45558</v>
      </c>
      <c r="C410" s="7">
        <f t="shared" ca="1" si="129"/>
        <v>45558</v>
      </c>
      <c r="D410" s="1" t="str">
        <f t="shared" ca="1" si="147"/>
        <v>Second Class</v>
      </c>
      <c r="E410" s="1" t="str">
        <f t="shared" ca="1" si="133"/>
        <v>CU-503</v>
      </c>
      <c r="F410" s="1" t="str">
        <f t="shared" ca="1" si="134"/>
        <v>Ravi Mehta</v>
      </c>
      <c r="G410" s="1" t="str">
        <f t="shared" ca="1" si="135"/>
        <v>Home Office</v>
      </c>
      <c r="H410" s="1" t="str">
        <f t="shared" si="136"/>
        <v>India</v>
      </c>
      <c r="I410" s="1" t="str">
        <f t="shared" ca="1" si="137"/>
        <v>North</v>
      </c>
      <c r="J410" s="1" t="str">
        <f t="shared" ca="1" si="138"/>
        <v>Gujarat</v>
      </c>
      <c r="K410" s="1" t="str">
        <f t="shared" ca="1" si="139"/>
        <v>Mumbai</v>
      </c>
      <c r="L410" s="1" t="str">
        <f t="shared" ca="1" si="140"/>
        <v>Furniture</v>
      </c>
      <c r="M410" s="1" t="str">
        <f t="shared" ca="1" si="141"/>
        <v>Mobile</v>
      </c>
      <c r="N410" s="1" t="str">
        <f t="shared" ca="1" si="142"/>
        <v>HP Pavilion</v>
      </c>
      <c r="O410" s="1">
        <f t="shared" ca="1" si="143"/>
        <v>32806</v>
      </c>
      <c r="P410" s="1">
        <f t="shared" ca="1" si="144"/>
        <v>7</v>
      </c>
      <c r="Q410" s="19">
        <f t="shared" ca="1" si="145"/>
        <v>0.1</v>
      </c>
      <c r="R410" s="1">
        <f t="shared" ca="1" si="146"/>
        <v>2624.4799999999996</v>
      </c>
      <c r="S410" s="1">
        <f t="shared" ca="1" si="130"/>
        <v>0</v>
      </c>
      <c r="T410" s="19">
        <f t="shared" ca="1" si="131"/>
        <v>7.9999999999999988E-2</v>
      </c>
      <c r="U410" s="1" t="str">
        <f t="shared" ca="1" si="132"/>
        <v>Low Discount</v>
      </c>
    </row>
    <row r="411" spans="1:21" ht="15.6" customHeight="1" x14ac:dyDescent="0.3">
      <c r="A411" s="1" t="str">
        <f t="shared" si="127"/>
        <v>ORD-410</v>
      </c>
      <c r="B411" s="10">
        <f t="shared" ca="1" si="128"/>
        <v>45458</v>
      </c>
      <c r="C411" s="7">
        <f t="shared" ca="1" si="129"/>
        <v>45461</v>
      </c>
      <c r="D411" s="1" t="str">
        <f t="shared" ca="1" si="147"/>
        <v>Standard Class</v>
      </c>
      <c r="E411" s="1" t="str">
        <f t="shared" ca="1" si="133"/>
        <v>CU-483</v>
      </c>
      <c r="F411" s="1" t="str">
        <f t="shared" ca="1" si="134"/>
        <v>Pooja Yadav</v>
      </c>
      <c r="G411" s="1" t="str">
        <f t="shared" ca="1" si="135"/>
        <v>Home Office</v>
      </c>
      <c r="H411" s="1" t="str">
        <f t="shared" si="136"/>
        <v>India</v>
      </c>
      <c r="I411" s="1" t="str">
        <f t="shared" ca="1" si="137"/>
        <v>West</v>
      </c>
      <c r="J411" s="1" t="str">
        <f t="shared" ca="1" si="138"/>
        <v>Karnataka</v>
      </c>
      <c r="K411" s="1" t="str">
        <f t="shared" ca="1" si="139"/>
        <v>Mumbai</v>
      </c>
      <c r="L411" s="1" t="str">
        <f t="shared" ca="1" si="140"/>
        <v>Technology</v>
      </c>
      <c r="M411" s="1" t="str">
        <f t="shared" ca="1" si="141"/>
        <v>Paper</v>
      </c>
      <c r="N411" s="1" t="str">
        <f t="shared" ca="1" si="142"/>
        <v>Wireless Mouse</v>
      </c>
      <c r="O411" s="1">
        <f t="shared" ca="1" si="143"/>
        <v>10540</v>
      </c>
      <c r="P411" s="1">
        <f t="shared" ca="1" si="144"/>
        <v>4</v>
      </c>
      <c r="Q411" s="19">
        <f t="shared" ca="1" si="145"/>
        <v>0.05</v>
      </c>
      <c r="R411" s="1">
        <f t="shared" ca="1" si="146"/>
        <v>1370.2</v>
      </c>
      <c r="S411" s="1">
        <f t="shared" ca="1" si="130"/>
        <v>3</v>
      </c>
      <c r="T411" s="19">
        <f t="shared" ca="1" si="131"/>
        <v>0.13</v>
      </c>
      <c r="U411" s="1" t="str">
        <f t="shared" ca="1" si="132"/>
        <v>Low Discount</v>
      </c>
    </row>
    <row r="412" spans="1:21" ht="15.6" customHeight="1" x14ac:dyDescent="0.3">
      <c r="A412" s="1" t="str">
        <f t="shared" si="127"/>
        <v>ORD-411</v>
      </c>
      <c r="B412" s="10">
        <f t="shared" ca="1" si="128"/>
        <v>45637</v>
      </c>
      <c r="C412" s="7">
        <f t="shared" ca="1" si="129"/>
        <v>45640</v>
      </c>
      <c r="D412" s="1" t="str">
        <f t="shared" ca="1" si="147"/>
        <v>Same Day</v>
      </c>
      <c r="E412" s="1" t="str">
        <f t="shared" ca="1" si="133"/>
        <v>CU-750</v>
      </c>
      <c r="F412" s="1" t="str">
        <f t="shared" ca="1" si="134"/>
        <v>Ravi Mehta</v>
      </c>
      <c r="G412" s="1" t="str">
        <f t="shared" ca="1" si="135"/>
        <v>Home Office</v>
      </c>
      <c r="H412" s="1" t="str">
        <f t="shared" si="136"/>
        <v>India</v>
      </c>
      <c r="I412" s="1" t="str">
        <f t="shared" ca="1" si="137"/>
        <v>West</v>
      </c>
      <c r="J412" s="1" t="str">
        <f t="shared" ca="1" si="138"/>
        <v>Gujarat</v>
      </c>
      <c r="K412" s="1" t="str">
        <f t="shared" ca="1" si="139"/>
        <v>Kolkata</v>
      </c>
      <c r="L412" s="1" t="str">
        <f t="shared" ca="1" si="140"/>
        <v>Office Supplies</v>
      </c>
      <c r="M412" s="1" t="str">
        <f t="shared" ca="1" si="141"/>
        <v>Mobile</v>
      </c>
      <c r="N412" s="1" t="str">
        <f t="shared" ca="1" si="142"/>
        <v>Wireless Mouse</v>
      </c>
      <c r="O412" s="1">
        <f t="shared" ca="1" si="143"/>
        <v>31032</v>
      </c>
      <c r="P412" s="1">
        <f t="shared" ca="1" si="144"/>
        <v>8</v>
      </c>
      <c r="Q412" s="19">
        <f t="shared" ca="1" si="145"/>
        <v>0.2</v>
      </c>
      <c r="R412" s="1">
        <f t="shared" ca="1" si="146"/>
        <v>-620.64000000000055</v>
      </c>
      <c r="S412" s="1">
        <f t="shared" ca="1" si="130"/>
        <v>3</v>
      </c>
      <c r="T412" s="19">
        <f t="shared" ca="1" si="131"/>
        <v>-2.0000000000000018E-2</v>
      </c>
      <c r="U412" s="1" t="str">
        <f t="shared" ca="1" si="132"/>
        <v>High Discount</v>
      </c>
    </row>
    <row r="413" spans="1:21" ht="15.6" customHeight="1" x14ac:dyDescent="0.3">
      <c r="A413" s="1" t="str">
        <f t="shared" si="127"/>
        <v>ORD-412</v>
      </c>
      <c r="B413" s="10">
        <f t="shared" ca="1" si="128"/>
        <v>45617</v>
      </c>
      <c r="C413" s="7">
        <f t="shared" ca="1" si="129"/>
        <v>45619</v>
      </c>
      <c r="D413" s="1" t="str">
        <f t="shared" ca="1" si="147"/>
        <v>Same Day</v>
      </c>
      <c r="E413" s="1" t="str">
        <f t="shared" ca="1" si="133"/>
        <v>CU-411</v>
      </c>
      <c r="F413" s="1" t="str">
        <f t="shared" ca="1" si="134"/>
        <v>Sunil Kumar</v>
      </c>
      <c r="G413" s="1" t="str">
        <f t="shared" ca="1" si="135"/>
        <v>Home Office</v>
      </c>
      <c r="H413" s="1" t="str">
        <f t="shared" si="136"/>
        <v>India</v>
      </c>
      <c r="I413" s="1" t="str">
        <f t="shared" ca="1" si="137"/>
        <v>North</v>
      </c>
      <c r="J413" s="1" t="str">
        <f t="shared" ca="1" si="138"/>
        <v>Maharashtra</v>
      </c>
      <c r="K413" s="1" t="str">
        <f t="shared" ca="1" si="139"/>
        <v>Kolkata</v>
      </c>
      <c r="L413" s="1" t="str">
        <f t="shared" ca="1" si="140"/>
        <v>Office Supplies</v>
      </c>
      <c r="M413" s="1" t="str">
        <f t="shared" ca="1" si="141"/>
        <v>Paper</v>
      </c>
      <c r="N413" s="1" t="str">
        <f t="shared" ca="1" si="142"/>
        <v>Office Table</v>
      </c>
      <c r="O413" s="1">
        <f t="shared" ca="1" si="143"/>
        <v>24866</v>
      </c>
      <c r="P413" s="1">
        <f t="shared" ca="1" si="144"/>
        <v>1</v>
      </c>
      <c r="Q413" s="19">
        <f t="shared" ca="1" si="145"/>
        <v>0.1</v>
      </c>
      <c r="R413" s="1">
        <f t="shared" ca="1" si="146"/>
        <v>1989.2799999999997</v>
      </c>
      <c r="S413" s="1">
        <f t="shared" ca="1" si="130"/>
        <v>2</v>
      </c>
      <c r="T413" s="19">
        <f t="shared" ca="1" si="131"/>
        <v>7.9999999999999988E-2</v>
      </c>
      <c r="U413" s="1" t="str">
        <f t="shared" ca="1" si="132"/>
        <v>Low Discount</v>
      </c>
    </row>
    <row r="414" spans="1:21" ht="15.6" customHeight="1" x14ac:dyDescent="0.3">
      <c r="A414" s="1" t="str">
        <f t="shared" si="127"/>
        <v>ORD-413</v>
      </c>
      <c r="B414" s="10">
        <f t="shared" ca="1" si="128"/>
        <v>45356</v>
      </c>
      <c r="C414" s="7">
        <f t="shared" ca="1" si="129"/>
        <v>45360</v>
      </c>
      <c r="D414" s="1" t="str">
        <f t="shared" ca="1" si="147"/>
        <v>Standard Class</v>
      </c>
      <c r="E414" s="1" t="str">
        <f t="shared" ca="1" si="133"/>
        <v>CU-193</v>
      </c>
      <c r="F414" s="1" t="str">
        <f t="shared" ca="1" si="134"/>
        <v>Priya Singh</v>
      </c>
      <c r="G414" s="1" t="str">
        <f t="shared" ca="1" si="135"/>
        <v>Home Office</v>
      </c>
      <c r="H414" s="1" t="str">
        <f t="shared" si="136"/>
        <v>India</v>
      </c>
      <c r="I414" s="1" t="str">
        <f t="shared" ca="1" si="137"/>
        <v>West</v>
      </c>
      <c r="J414" s="1" t="str">
        <f t="shared" ca="1" si="138"/>
        <v>West Bengal</v>
      </c>
      <c r="K414" s="1" t="str">
        <f t="shared" ca="1" si="139"/>
        <v>Mumbai</v>
      </c>
      <c r="L414" s="1" t="str">
        <f t="shared" ca="1" si="140"/>
        <v>Technology</v>
      </c>
      <c r="M414" s="1" t="str">
        <f t="shared" ca="1" si="141"/>
        <v>Mobile</v>
      </c>
      <c r="N414" s="1" t="str">
        <f t="shared" ca="1" si="142"/>
        <v>HP Pavilion</v>
      </c>
      <c r="O414" s="1">
        <f t="shared" ca="1" si="143"/>
        <v>52688</v>
      </c>
      <c r="P414" s="1">
        <f t="shared" ca="1" si="144"/>
        <v>5</v>
      </c>
      <c r="Q414" s="19">
        <f t="shared" ca="1" si="145"/>
        <v>0.05</v>
      </c>
      <c r="R414" s="1">
        <f t="shared" ca="1" si="146"/>
        <v>6849.4400000000005</v>
      </c>
      <c r="S414" s="1">
        <f t="shared" ca="1" si="130"/>
        <v>4</v>
      </c>
      <c r="T414" s="19">
        <f t="shared" ca="1" si="131"/>
        <v>0.13</v>
      </c>
      <c r="U414" s="1" t="str">
        <f t="shared" ca="1" si="132"/>
        <v>Low Discount</v>
      </c>
    </row>
    <row r="415" spans="1:21" ht="15.6" customHeight="1" x14ac:dyDescent="0.3">
      <c r="A415" s="1" t="str">
        <f t="shared" si="127"/>
        <v>ORD-414</v>
      </c>
      <c r="B415" s="10">
        <f t="shared" ca="1" si="128"/>
        <v>45377</v>
      </c>
      <c r="C415" s="7">
        <f t="shared" ca="1" si="129"/>
        <v>45382</v>
      </c>
      <c r="D415" s="1" t="str">
        <f t="shared" ca="1" si="147"/>
        <v>Standard Class</v>
      </c>
      <c r="E415" s="1" t="str">
        <f t="shared" ca="1" si="133"/>
        <v>CU-437</v>
      </c>
      <c r="F415" s="1" t="str">
        <f t="shared" ca="1" si="134"/>
        <v>Neha Gupta</v>
      </c>
      <c r="G415" s="1" t="str">
        <f t="shared" ca="1" si="135"/>
        <v>Home Office</v>
      </c>
      <c r="H415" s="1" t="str">
        <f t="shared" si="136"/>
        <v>India</v>
      </c>
      <c r="I415" s="1" t="str">
        <f t="shared" ca="1" si="137"/>
        <v>West</v>
      </c>
      <c r="J415" s="1" t="str">
        <f t="shared" ca="1" si="138"/>
        <v>Delhi</v>
      </c>
      <c r="K415" s="1" t="str">
        <f t="shared" ca="1" si="139"/>
        <v>Mumbai</v>
      </c>
      <c r="L415" s="1" t="str">
        <f t="shared" ca="1" si="140"/>
        <v>Office Supplies</v>
      </c>
      <c r="M415" s="1" t="str">
        <f t="shared" ca="1" si="141"/>
        <v>Table</v>
      </c>
      <c r="N415" s="1" t="str">
        <f t="shared" ca="1" si="142"/>
        <v>Samsung Galaxy</v>
      </c>
      <c r="O415" s="1">
        <f t="shared" ca="1" si="143"/>
        <v>37161</v>
      </c>
      <c r="P415" s="1">
        <f t="shared" ca="1" si="144"/>
        <v>6</v>
      </c>
      <c r="Q415" s="19">
        <f t="shared" ca="1" si="145"/>
        <v>0.2</v>
      </c>
      <c r="R415" s="1">
        <f t="shared" ca="1" si="146"/>
        <v>-743.22000000000071</v>
      </c>
      <c r="S415" s="1">
        <f t="shared" ca="1" si="130"/>
        <v>5</v>
      </c>
      <c r="T415" s="19">
        <f t="shared" ca="1" si="131"/>
        <v>-2.0000000000000018E-2</v>
      </c>
      <c r="U415" s="1" t="str">
        <f t="shared" ca="1" si="132"/>
        <v>High Discount</v>
      </c>
    </row>
    <row r="416" spans="1:21" ht="15.6" customHeight="1" x14ac:dyDescent="0.3">
      <c r="A416" s="1" t="str">
        <f t="shared" si="127"/>
        <v>ORD-415</v>
      </c>
      <c r="B416" s="10">
        <f t="shared" ca="1" si="128"/>
        <v>45337</v>
      </c>
      <c r="C416" s="7">
        <f t="shared" ca="1" si="129"/>
        <v>45339</v>
      </c>
      <c r="D416" s="1" t="str">
        <f t="shared" ca="1" si="147"/>
        <v>Standard Class</v>
      </c>
      <c r="E416" s="1" t="str">
        <f t="shared" ca="1" si="133"/>
        <v>CU-154</v>
      </c>
      <c r="F416" s="1" t="str">
        <f t="shared" ca="1" si="134"/>
        <v>Sunil Kumar</v>
      </c>
      <c r="G416" s="1" t="str">
        <f t="shared" ca="1" si="135"/>
        <v>Consumer</v>
      </c>
      <c r="H416" s="1" t="str">
        <f t="shared" si="136"/>
        <v>India</v>
      </c>
      <c r="I416" s="1" t="str">
        <f t="shared" ca="1" si="137"/>
        <v>East</v>
      </c>
      <c r="J416" s="1" t="str">
        <f t="shared" ca="1" si="138"/>
        <v>Delhi</v>
      </c>
      <c r="K416" s="1" t="str">
        <f t="shared" ca="1" si="139"/>
        <v>Bangalore</v>
      </c>
      <c r="L416" s="1" t="str">
        <f t="shared" ca="1" si="140"/>
        <v>Office Supplies</v>
      </c>
      <c r="M416" s="1" t="str">
        <f t="shared" ca="1" si="141"/>
        <v>Table</v>
      </c>
      <c r="N416" s="1" t="str">
        <f t="shared" ca="1" si="142"/>
        <v>Office Chair</v>
      </c>
      <c r="O416" s="1">
        <f t="shared" ca="1" si="143"/>
        <v>57844</v>
      </c>
      <c r="P416" s="1">
        <f t="shared" ca="1" si="144"/>
        <v>3</v>
      </c>
      <c r="Q416" s="19">
        <f t="shared" ca="1" si="145"/>
        <v>0.1</v>
      </c>
      <c r="R416" s="1">
        <f t="shared" ca="1" si="146"/>
        <v>4627.5199999999995</v>
      </c>
      <c r="S416" s="1">
        <f t="shared" ca="1" si="130"/>
        <v>2</v>
      </c>
      <c r="T416" s="19">
        <f t="shared" ca="1" si="131"/>
        <v>7.9999999999999988E-2</v>
      </c>
      <c r="U416" s="1" t="str">
        <f t="shared" ca="1" si="132"/>
        <v>Low Discount</v>
      </c>
    </row>
    <row r="417" spans="1:21" ht="15.6" customHeight="1" x14ac:dyDescent="0.3">
      <c r="A417" s="1" t="str">
        <f t="shared" si="127"/>
        <v>ORD-416</v>
      </c>
      <c r="B417" s="10">
        <f t="shared" ca="1" si="128"/>
        <v>45409</v>
      </c>
      <c r="C417" s="7">
        <f t="shared" ca="1" si="129"/>
        <v>45412</v>
      </c>
      <c r="D417" s="1" t="str">
        <f t="shared" ca="1" si="147"/>
        <v>Standard Class</v>
      </c>
      <c r="E417" s="1" t="str">
        <f t="shared" ca="1" si="133"/>
        <v>CU-105</v>
      </c>
      <c r="F417" s="1" t="str">
        <f t="shared" ca="1" si="134"/>
        <v>Pooja Yadav</v>
      </c>
      <c r="G417" s="1" t="str">
        <f t="shared" ca="1" si="135"/>
        <v>Home Office</v>
      </c>
      <c r="H417" s="1" t="str">
        <f t="shared" si="136"/>
        <v>India</v>
      </c>
      <c r="I417" s="1" t="str">
        <f t="shared" ca="1" si="137"/>
        <v>East</v>
      </c>
      <c r="J417" s="1" t="str">
        <f t="shared" ca="1" si="138"/>
        <v>Delhi</v>
      </c>
      <c r="K417" s="1" t="str">
        <f t="shared" ca="1" si="139"/>
        <v>Delhi</v>
      </c>
      <c r="L417" s="1" t="str">
        <f t="shared" ca="1" si="140"/>
        <v>Furniture</v>
      </c>
      <c r="M417" s="1" t="str">
        <f t="shared" ca="1" si="141"/>
        <v>Laptop</v>
      </c>
      <c r="N417" s="1" t="str">
        <f t="shared" ca="1" si="142"/>
        <v>Office Chair</v>
      </c>
      <c r="O417" s="1">
        <f t="shared" ca="1" si="143"/>
        <v>38967</v>
      </c>
      <c r="P417" s="1">
        <f t="shared" ca="1" si="144"/>
        <v>8</v>
      </c>
      <c r="Q417" s="19">
        <f t="shared" ca="1" si="145"/>
        <v>0.05</v>
      </c>
      <c r="R417" s="1">
        <f t="shared" ca="1" si="146"/>
        <v>5065.71</v>
      </c>
      <c r="S417" s="1">
        <f t="shared" ca="1" si="130"/>
        <v>3</v>
      </c>
      <c r="T417" s="19">
        <f t="shared" ca="1" si="131"/>
        <v>0.13</v>
      </c>
      <c r="U417" s="1" t="str">
        <f t="shared" ca="1" si="132"/>
        <v>Low Discount</v>
      </c>
    </row>
    <row r="418" spans="1:21" ht="15.6" customHeight="1" x14ac:dyDescent="0.3">
      <c r="A418" s="1" t="str">
        <f t="shared" si="127"/>
        <v>ORD-417</v>
      </c>
      <c r="B418" s="10">
        <f t="shared" ca="1" si="128"/>
        <v>45590</v>
      </c>
      <c r="C418" s="7">
        <f t="shared" ca="1" si="129"/>
        <v>45595</v>
      </c>
      <c r="D418" s="1" t="str">
        <f t="shared" ca="1" si="147"/>
        <v>Same Day</v>
      </c>
      <c r="E418" s="1" t="str">
        <f t="shared" ca="1" si="133"/>
        <v>CU-411</v>
      </c>
      <c r="F418" s="1" t="str">
        <f t="shared" ca="1" si="134"/>
        <v>Sunil Kumar</v>
      </c>
      <c r="G418" s="1" t="str">
        <f t="shared" ca="1" si="135"/>
        <v>Home Office</v>
      </c>
      <c r="H418" s="1" t="str">
        <f t="shared" si="136"/>
        <v>India</v>
      </c>
      <c r="I418" s="1" t="str">
        <f t="shared" ca="1" si="137"/>
        <v>South</v>
      </c>
      <c r="J418" s="1" t="str">
        <f t="shared" ca="1" si="138"/>
        <v>Maharashtra</v>
      </c>
      <c r="K418" s="1" t="str">
        <f t="shared" ca="1" si="139"/>
        <v>Chennai</v>
      </c>
      <c r="L418" s="1" t="str">
        <f t="shared" ca="1" si="140"/>
        <v>Office Supplies</v>
      </c>
      <c r="M418" s="1" t="str">
        <f t="shared" ca="1" si="141"/>
        <v>Chair</v>
      </c>
      <c r="N418" s="1" t="str">
        <f t="shared" ca="1" si="142"/>
        <v>Office Table</v>
      </c>
      <c r="O418" s="1">
        <f t="shared" ca="1" si="143"/>
        <v>6858</v>
      </c>
      <c r="P418" s="1">
        <f t="shared" ca="1" si="144"/>
        <v>10</v>
      </c>
      <c r="Q418" s="19">
        <f t="shared" ca="1" si="145"/>
        <v>0.2</v>
      </c>
      <c r="R418" s="1">
        <f t="shared" ca="1" si="146"/>
        <v>-137.16000000000011</v>
      </c>
      <c r="S418" s="1">
        <f t="shared" ca="1" si="130"/>
        <v>5</v>
      </c>
      <c r="T418" s="19">
        <f t="shared" ca="1" si="131"/>
        <v>-2.0000000000000018E-2</v>
      </c>
      <c r="U418" s="1" t="str">
        <f t="shared" ca="1" si="132"/>
        <v>High Discount</v>
      </c>
    </row>
    <row r="419" spans="1:21" ht="15.6" customHeight="1" x14ac:dyDescent="0.3">
      <c r="A419" s="1" t="str">
        <f t="shared" si="127"/>
        <v>ORD-418</v>
      </c>
      <c r="B419" s="10">
        <f t="shared" ca="1" si="128"/>
        <v>45471</v>
      </c>
      <c r="C419" s="7">
        <f t="shared" ca="1" si="129"/>
        <v>45471</v>
      </c>
      <c r="D419" s="1" t="str">
        <f t="shared" ca="1" si="147"/>
        <v>Standard Class</v>
      </c>
      <c r="E419" s="1" t="str">
        <f t="shared" ca="1" si="133"/>
        <v>CU-258</v>
      </c>
      <c r="F419" s="1" t="str">
        <f t="shared" ca="1" si="134"/>
        <v>Arjun Malhotra</v>
      </c>
      <c r="G419" s="1" t="str">
        <f t="shared" ca="1" si="135"/>
        <v>Consumer</v>
      </c>
      <c r="H419" s="1" t="str">
        <f t="shared" si="136"/>
        <v>India</v>
      </c>
      <c r="I419" s="1" t="str">
        <f t="shared" ca="1" si="137"/>
        <v>East</v>
      </c>
      <c r="J419" s="1" t="str">
        <f t="shared" ca="1" si="138"/>
        <v>Gujarat</v>
      </c>
      <c r="K419" s="1" t="str">
        <f t="shared" ca="1" si="139"/>
        <v>Chennai</v>
      </c>
      <c r="L419" s="1" t="str">
        <f t="shared" ca="1" si="140"/>
        <v>Office Supplies</v>
      </c>
      <c r="M419" s="1" t="str">
        <f t="shared" ca="1" si="141"/>
        <v>Mobile</v>
      </c>
      <c r="N419" s="1" t="str">
        <f t="shared" ca="1" si="142"/>
        <v>Office Chair</v>
      </c>
      <c r="O419" s="1">
        <f t="shared" ca="1" si="143"/>
        <v>28555</v>
      </c>
      <c r="P419" s="1">
        <f t="shared" ca="1" si="144"/>
        <v>5</v>
      </c>
      <c r="Q419" s="19">
        <f t="shared" ca="1" si="145"/>
        <v>0.3</v>
      </c>
      <c r="R419" s="1">
        <f t="shared" ca="1" si="146"/>
        <v>-3426.6</v>
      </c>
      <c r="S419" s="1">
        <f t="shared" ca="1" si="130"/>
        <v>0</v>
      </c>
      <c r="T419" s="19">
        <f t="shared" ca="1" si="131"/>
        <v>-0.12</v>
      </c>
      <c r="U419" s="1" t="str">
        <f t="shared" ca="1" si="132"/>
        <v>High Discount</v>
      </c>
    </row>
    <row r="420" spans="1:21" ht="15.6" customHeight="1" x14ac:dyDescent="0.3">
      <c r="A420" s="1" t="str">
        <f t="shared" si="127"/>
        <v>ORD-419</v>
      </c>
      <c r="B420" s="10">
        <f t="shared" ca="1" si="128"/>
        <v>45498</v>
      </c>
      <c r="C420" s="7">
        <f t="shared" ca="1" si="129"/>
        <v>45502</v>
      </c>
      <c r="D420" s="1" t="str">
        <f t="shared" ca="1" si="147"/>
        <v>Standard Class</v>
      </c>
      <c r="E420" s="1" t="str">
        <f t="shared" ca="1" si="133"/>
        <v>CU-788</v>
      </c>
      <c r="F420" s="1" t="str">
        <f t="shared" ca="1" si="134"/>
        <v>Neha Gupta</v>
      </c>
      <c r="G420" s="1" t="str">
        <f t="shared" ca="1" si="135"/>
        <v>Home Office</v>
      </c>
      <c r="H420" s="1" t="str">
        <f t="shared" si="136"/>
        <v>India</v>
      </c>
      <c r="I420" s="1" t="str">
        <f t="shared" ca="1" si="137"/>
        <v>South</v>
      </c>
      <c r="J420" s="1" t="str">
        <f t="shared" ca="1" si="138"/>
        <v>Gujarat</v>
      </c>
      <c r="K420" s="1" t="str">
        <f t="shared" ca="1" si="139"/>
        <v>Mumbai</v>
      </c>
      <c r="L420" s="1" t="str">
        <f t="shared" ca="1" si="140"/>
        <v>Technology</v>
      </c>
      <c r="M420" s="1" t="str">
        <f t="shared" ca="1" si="141"/>
        <v>Paper</v>
      </c>
      <c r="N420" s="1" t="str">
        <f t="shared" ca="1" si="142"/>
        <v>A4 Paper</v>
      </c>
      <c r="O420" s="1">
        <f t="shared" ca="1" si="143"/>
        <v>28984</v>
      </c>
      <c r="P420" s="1">
        <f t="shared" ca="1" si="144"/>
        <v>2</v>
      </c>
      <c r="Q420" s="19">
        <f t="shared" ca="1" si="145"/>
        <v>0.05</v>
      </c>
      <c r="R420" s="1">
        <f t="shared" ca="1" si="146"/>
        <v>3767.92</v>
      </c>
      <c r="S420" s="1">
        <f t="shared" ca="1" si="130"/>
        <v>4</v>
      </c>
      <c r="T420" s="19">
        <f t="shared" ca="1" si="131"/>
        <v>0.13</v>
      </c>
      <c r="U420" s="1" t="str">
        <f t="shared" ca="1" si="132"/>
        <v>Low Discount</v>
      </c>
    </row>
    <row r="421" spans="1:21" ht="15.6" customHeight="1" x14ac:dyDescent="0.3">
      <c r="A421" s="1" t="str">
        <f t="shared" si="127"/>
        <v>ORD-420</v>
      </c>
      <c r="B421" s="10">
        <f t="shared" ca="1" si="128"/>
        <v>45637</v>
      </c>
      <c r="C421" s="7">
        <f t="shared" ca="1" si="129"/>
        <v>45640</v>
      </c>
      <c r="D421" s="1" t="str">
        <f t="shared" ca="1" si="147"/>
        <v>Same Day</v>
      </c>
      <c r="E421" s="1" t="str">
        <f t="shared" ca="1" si="133"/>
        <v>CU-287</v>
      </c>
      <c r="F421" s="1" t="str">
        <f t="shared" ca="1" si="134"/>
        <v>Priya Singh</v>
      </c>
      <c r="G421" s="1" t="str">
        <f t="shared" ca="1" si="135"/>
        <v>Home Office</v>
      </c>
      <c r="H421" s="1" t="str">
        <f t="shared" si="136"/>
        <v>India</v>
      </c>
      <c r="I421" s="1" t="str">
        <f t="shared" ca="1" si="137"/>
        <v>West</v>
      </c>
      <c r="J421" s="1" t="str">
        <f t="shared" ca="1" si="138"/>
        <v>Tamil Nadu</v>
      </c>
      <c r="K421" s="1" t="str">
        <f t="shared" ca="1" si="139"/>
        <v>Bangalore</v>
      </c>
      <c r="L421" s="1" t="str">
        <f t="shared" ca="1" si="140"/>
        <v>Office Supplies</v>
      </c>
      <c r="M421" s="1" t="str">
        <f t="shared" ca="1" si="141"/>
        <v>Laptop</v>
      </c>
      <c r="N421" s="1" t="str">
        <f t="shared" ca="1" si="142"/>
        <v>HP Pavilion</v>
      </c>
      <c r="O421" s="1">
        <f t="shared" ca="1" si="143"/>
        <v>44733</v>
      </c>
      <c r="P421" s="1">
        <f t="shared" ca="1" si="144"/>
        <v>2</v>
      </c>
      <c r="Q421" s="19">
        <f t="shared" ca="1" si="145"/>
        <v>0.05</v>
      </c>
      <c r="R421" s="1">
        <f t="shared" ca="1" si="146"/>
        <v>5815.29</v>
      </c>
      <c r="S421" s="1">
        <f t="shared" ca="1" si="130"/>
        <v>3</v>
      </c>
      <c r="T421" s="19">
        <f t="shared" ca="1" si="131"/>
        <v>0.13</v>
      </c>
      <c r="U421" s="1" t="str">
        <f t="shared" ca="1" si="132"/>
        <v>Low Discount</v>
      </c>
    </row>
    <row r="422" spans="1:21" ht="15.6" customHeight="1" x14ac:dyDescent="0.3">
      <c r="A422" s="1" t="str">
        <f t="shared" si="127"/>
        <v>ORD-421</v>
      </c>
      <c r="B422" s="10">
        <f t="shared" ca="1" si="128"/>
        <v>45519</v>
      </c>
      <c r="C422" s="7">
        <f t="shared" ca="1" si="129"/>
        <v>45519</v>
      </c>
      <c r="D422" s="1" t="str">
        <f t="shared" ca="1" si="147"/>
        <v>Same Day</v>
      </c>
      <c r="E422" s="1" t="str">
        <f t="shared" ca="1" si="133"/>
        <v>CU-647</v>
      </c>
      <c r="F422" s="1" t="str">
        <f t="shared" ca="1" si="134"/>
        <v>Arjun Malhotra</v>
      </c>
      <c r="G422" s="1" t="str">
        <f t="shared" ca="1" si="135"/>
        <v>Corporate</v>
      </c>
      <c r="H422" s="1" t="str">
        <f t="shared" si="136"/>
        <v>India</v>
      </c>
      <c r="I422" s="1" t="str">
        <f t="shared" ca="1" si="137"/>
        <v>East</v>
      </c>
      <c r="J422" s="1" t="str">
        <f t="shared" ca="1" si="138"/>
        <v>Delhi</v>
      </c>
      <c r="K422" s="1" t="str">
        <f t="shared" ca="1" si="139"/>
        <v>Kolkata</v>
      </c>
      <c r="L422" s="1" t="str">
        <f t="shared" ca="1" si="140"/>
        <v>Office Supplies</v>
      </c>
      <c r="M422" s="1" t="str">
        <f t="shared" ca="1" si="141"/>
        <v>Mobile</v>
      </c>
      <c r="N422" s="1" t="str">
        <f t="shared" ca="1" si="142"/>
        <v>Wireless Mouse</v>
      </c>
      <c r="O422" s="1">
        <f t="shared" ca="1" si="143"/>
        <v>19515</v>
      </c>
      <c r="P422" s="1">
        <f t="shared" ca="1" si="144"/>
        <v>7</v>
      </c>
      <c r="Q422" s="19">
        <f t="shared" ca="1" si="145"/>
        <v>0.1</v>
      </c>
      <c r="R422" s="1">
        <f t="shared" ca="1" si="146"/>
        <v>1561.1999999999998</v>
      </c>
      <c r="S422" s="1">
        <f t="shared" ca="1" si="130"/>
        <v>0</v>
      </c>
      <c r="T422" s="19">
        <f t="shared" ca="1" si="131"/>
        <v>7.9999999999999988E-2</v>
      </c>
      <c r="U422" s="1" t="str">
        <f t="shared" ca="1" si="132"/>
        <v>Low Discount</v>
      </c>
    </row>
    <row r="423" spans="1:21" ht="15.6" customHeight="1" x14ac:dyDescent="0.3">
      <c r="A423" s="1" t="str">
        <f t="shared" si="127"/>
        <v>ORD-422</v>
      </c>
      <c r="B423" s="10">
        <f t="shared" ca="1" si="128"/>
        <v>45628</v>
      </c>
      <c r="C423" s="7">
        <f t="shared" ca="1" si="129"/>
        <v>45633</v>
      </c>
      <c r="D423" s="1" t="str">
        <f t="shared" ca="1" si="147"/>
        <v>Second Class</v>
      </c>
      <c r="E423" s="1" t="str">
        <f t="shared" ca="1" si="133"/>
        <v>CU-961</v>
      </c>
      <c r="F423" s="1" t="str">
        <f t="shared" ca="1" si="134"/>
        <v>Arjun Malhotra</v>
      </c>
      <c r="G423" s="1" t="str">
        <f t="shared" ca="1" si="135"/>
        <v>Home Office</v>
      </c>
      <c r="H423" s="1" t="str">
        <f t="shared" si="136"/>
        <v>India</v>
      </c>
      <c r="I423" s="1" t="str">
        <f t="shared" ca="1" si="137"/>
        <v>South</v>
      </c>
      <c r="J423" s="1" t="str">
        <f t="shared" ca="1" si="138"/>
        <v>Maharashtra</v>
      </c>
      <c r="K423" s="1" t="str">
        <f t="shared" ca="1" si="139"/>
        <v>Mumbai</v>
      </c>
      <c r="L423" s="1" t="str">
        <f t="shared" ca="1" si="140"/>
        <v>Office Supplies</v>
      </c>
      <c r="M423" s="1" t="str">
        <f t="shared" ca="1" si="141"/>
        <v>Chair</v>
      </c>
      <c r="N423" s="1" t="str">
        <f t="shared" ca="1" si="142"/>
        <v>Office Table</v>
      </c>
      <c r="O423" s="1">
        <f t="shared" ca="1" si="143"/>
        <v>41508</v>
      </c>
      <c r="P423" s="1">
        <f t="shared" ca="1" si="144"/>
        <v>5</v>
      </c>
      <c r="Q423" s="19">
        <f t="shared" ca="1" si="145"/>
        <v>0.3</v>
      </c>
      <c r="R423" s="1">
        <f t="shared" ca="1" si="146"/>
        <v>-4980.96</v>
      </c>
      <c r="S423" s="1">
        <f t="shared" ca="1" si="130"/>
        <v>5</v>
      </c>
      <c r="T423" s="19">
        <f t="shared" ca="1" si="131"/>
        <v>-0.12</v>
      </c>
      <c r="U423" s="1" t="str">
        <f t="shared" ca="1" si="132"/>
        <v>High Discount</v>
      </c>
    </row>
    <row r="424" spans="1:21" ht="15.6" customHeight="1" x14ac:dyDescent="0.3">
      <c r="A424" s="1" t="str">
        <f t="shared" si="127"/>
        <v>ORD-423</v>
      </c>
      <c r="B424" s="10">
        <f t="shared" ca="1" si="128"/>
        <v>45558</v>
      </c>
      <c r="C424" s="7">
        <f t="shared" ca="1" si="129"/>
        <v>45561</v>
      </c>
      <c r="D424" s="1" t="str">
        <f t="shared" ca="1" si="147"/>
        <v>Same Day</v>
      </c>
      <c r="E424" s="1" t="str">
        <f t="shared" ca="1" si="133"/>
        <v>CU-905</v>
      </c>
      <c r="F424" s="1" t="str">
        <f t="shared" ca="1" si="134"/>
        <v>Pooja Yadav</v>
      </c>
      <c r="G424" s="1" t="str">
        <f t="shared" ca="1" si="135"/>
        <v>Corporate</v>
      </c>
      <c r="H424" s="1" t="str">
        <f t="shared" si="136"/>
        <v>India</v>
      </c>
      <c r="I424" s="1" t="str">
        <f t="shared" ca="1" si="137"/>
        <v>East</v>
      </c>
      <c r="J424" s="1" t="str">
        <f t="shared" ca="1" si="138"/>
        <v>Tamil Nadu</v>
      </c>
      <c r="K424" s="1" t="str">
        <f t="shared" ca="1" si="139"/>
        <v>Mumbai</v>
      </c>
      <c r="L424" s="1" t="str">
        <f t="shared" ca="1" si="140"/>
        <v>Furniture</v>
      </c>
      <c r="M424" s="1" t="str">
        <f t="shared" ca="1" si="141"/>
        <v>Chair</v>
      </c>
      <c r="N424" s="1" t="str">
        <f t="shared" ca="1" si="142"/>
        <v>A4 Paper</v>
      </c>
      <c r="O424" s="1">
        <f t="shared" ca="1" si="143"/>
        <v>14638</v>
      </c>
      <c r="P424" s="1">
        <f t="shared" ca="1" si="144"/>
        <v>4</v>
      </c>
      <c r="Q424" s="19">
        <f t="shared" ca="1" si="145"/>
        <v>0.3</v>
      </c>
      <c r="R424" s="1">
        <f t="shared" ca="1" si="146"/>
        <v>-1756.56</v>
      </c>
      <c r="S424" s="1">
        <f t="shared" ca="1" si="130"/>
        <v>3</v>
      </c>
      <c r="T424" s="19">
        <f t="shared" ca="1" si="131"/>
        <v>-0.12</v>
      </c>
      <c r="U424" s="1" t="str">
        <f t="shared" ca="1" si="132"/>
        <v>High Discount</v>
      </c>
    </row>
    <row r="425" spans="1:21" ht="15.6" customHeight="1" x14ac:dyDescent="0.3">
      <c r="A425" s="1" t="str">
        <f t="shared" si="127"/>
        <v>ORD-424</v>
      </c>
      <c r="B425" s="10">
        <f t="shared" ca="1" si="128"/>
        <v>45412</v>
      </c>
      <c r="C425" s="7">
        <f t="shared" ca="1" si="129"/>
        <v>45413</v>
      </c>
      <c r="D425" s="1" t="str">
        <f t="shared" ca="1" si="147"/>
        <v>Same Day</v>
      </c>
      <c r="E425" s="1" t="str">
        <f t="shared" ca="1" si="133"/>
        <v>CU-543</v>
      </c>
      <c r="F425" s="1" t="str">
        <f t="shared" ca="1" si="134"/>
        <v>Neha Gupta</v>
      </c>
      <c r="G425" s="1" t="str">
        <f t="shared" ca="1" si="135"/>
        <v>Home Office</v>
      </c>
      <c r="H425" s="1" t="str">
        <f t="shared" si="136"/>
        <v>India</v>
      </c>
      <c r="I425" s="1" t="str">
        <f t="shared" ca="1" si="137"/>
        <v>North</v>
      </c>
      <c r="J425" s="1" t="str">
        <f t="shared" ca="1" si="138"/>
        <v>Karnataka</v>
      </c>
      <c r="K425" s="1" t="str">
        <f t="shared" ca="1" si="139"/>
        <v>Mumbai</v>
      </c>
      <c r="L425" s="1" t="str">
        <f t="shared" ca="1" si="140"/>
        <v>Technology</v>
      </c>
      <c r="M425" s="1" t="str">
        <f t="shared" ca="1" si="141"/>
        <v>Mobile</v>
      </c>
      <c r="N425" s="1" t="str">
        <f t="shared" ca="1" si="142"/>
        <v>A4 Paper</v>
      </c>
      <c r="O425" s="1">
        <f t="shared" ca="1" si="143"/>
        <v>17541</v>
      </c>
      <c r="P425" s="1">
        <f t="shared" ca="1" si="144"/>
        <v>10</v>
      </c>
      <c r="Q425" s="19">
        <f t="shared" ca="1" si="145"/>
        <v>0.2</v>
      </c>
      <c r="R425" s="1">
        <f t="shared" ca="1" si="146"/>
        <v>-350.82000000000033</v>
      </c>
      <c r="S425" s="1">
        <f t="shared" ca="1" si="130"/>
        <v>1</v>
      </c>
      <c r="T425" s="19">
        <f t="shared" ca="1" si="131"/>
        <v>-2.0000000000000018E-2</v>
      </c>
      <c r="U425" s="1" t="str">
        <f t="shared" ca="1" si="132"/>
        <v>High Discount</v>
      </c>
    </row>
    <row r="426" spans="1:21" ht="15.6" customHeight="1" x14ac:dyDescent="0.3">
      <c r="A426" s="1" t="str">
        <f t="shared" si="127"/>
        <v>ORD-425</v>
      </c>
      <c r="B426" s="10">
        <f t="shared" ca="1" si="128"/>
        <v>45374</v>
      </c>
      <c r="C426" s="7">
        <f t="shared" ca="1" si="129"/>
        <v>45379</v>
      </c>
      <c r="D426" s="1" t="str">
        <f t="shared" ca="1" si="147"/>
        <v>Second Class</v>
      </c>
      <c r="E426" s="1" t="str">
        <f t="shared" ca="1" si="133"/>
        <v>CU-105</v>
      </c>
      <c r="F426" s="1" t="str">
        <f t="shared" ca="1" si="134"/>
        <v>Neha Gupta</v>
      </c>
      <c r="G426" s="1" t="str">
        <f t="shared" ca="1" si="135"/>
        <v>Corporate</v>
      </c>
      <c r="H426" s="1" t="str">
        <f t="shared" si="136"/>
        <v>India</v>
      </c>
      <c r="I426" s="1" t="str">
        <f t="shared" ca="1" si="137"/>
        <v>North</v>
      </c>
      <c r="J426" s="1" t="str">
        <f t="shared" ca="1" si="138"/>
        <v>West Bengal</v>
      </c>
      <c r="K426" s="1" t="str">
        <f t="shared" ca="1" si="139"/>
        <v>Bangalore</v>
      </c>
      <c r="L426" s="1" t="str">
        <f t="shared" ca="1" si="140"/>
        <v>Furniture</v>
      </c>
      <c r="M426" s="1" t="str">
        <f t="shared" ca="1" si="141"/>
        <v>Laptop</v>
      </c>
      <c r="N426" s="1" t="str">
        <f t="shared" ca="1" si="142"/>
        <v>Wireless Mouse</v>
      </c>
      <c r="O426" s="1">
        <f t="shared" ca="1" si="143"/>
        <v>19484</v>
      </c>
      <c r="P426" s="1">
        <f t="shared" ca="1" si="144"/>
        <v>1</v>
      </c>
      <c r="Q426" s="19">
        <f t="shared" ca="1" si="145"/>
        <v>0</v>
      </c>
      <c r="R426" s="1">
        <f t="shared" ca="1" si="146"/>
        <v>3507.12</v>
      </c>
      <c r="S426" s="1">
        <f t="shared" ca="1" si="130"/>
        <v>5</v>
      </c>
      <c r="T426" s="19">
        <f t="shared" ca="1" si="131"/>
        <v>0.18</v>
      </c>
      <c r="U426" s="1" t="str">
        <f t="shared" ca="1" si="132"/>
        <v>Low Discount</v>
      </c>
    </row>
    <row r="427" spans="1:21" ht="15.6" customHeight="1" x14ac:dyDescent="0.3">
      <c r="A427" s="1" t="str">
        <f t="shared" si="127"/>
        <v>ORD-426</v>
      </c>
      <c r="B427" s="10">
        <f t="shared" ca="1" si="128"/>
        <v>45644</v>
      </c>
      <c r="C427" s="7">
        <f t="shared" ca="1" si="129"/>
        <v>45649</v>
      </c>
      <c r="D427" s="1" t="str">
        <f t="shared" ca="1" si="147"/>
        <v>Same Day</v>
      </c>
      <c r="E427" s="1" t="str">
        <f t="shared" ca="1" si="133"/>
        <v>CU-681</v>
      </c>
      <c r="F427" s="1" t="str">
        <f t="shared" ca="1" si="134"/>
        <v>Ravi Mehta</v>
      </c>
      <c r="G427" s="1" t="str">
        <f t="shared" ca="1" si="135"/>
        <v>Home Office</v>
      </c>
      <c r="H427" s="1" t="str">
        <f t="shared" si="136"/>
        <v>India</v>
      </c>
      <c r="I427" s="1" t="str">
        <f t="shared" ca="1" si="137"/>
        <v>West</v>
      </c>
      <c r="J427" s="1" t="str">
        <f t="shared" ca="1" si="138"/>
        <v>Tamil Nadu</v>
      </c>
      <c r="K427" s="1" t="str">
        <f t="shared" ca="1" si="139"/>
        <v>Mumbai</v>
      </c>
      <c r="L427" s="1" t="str">
        <f t="shared" ca="1" si="140"/>
        <v>Office Supplies</v>
      </c>
      <c r="M427" s="1" t="str">
        <f t="shared" ca="1" si="141"/>
        <v>Laptop</v>
      </c>
      <c r="N427" s="1" t="str">
        <f t="shared" ca="1" si="142"/>
        <v>A4 Paper</v>
      </c>
      <c r="O427" s="1">
        <f t="shared" ca="1" si="143"/>
        <v>56352</v>
      </c>
      <c r="P427" s="1">
        <f t="shared" ca="1" si="144"/>
        <v>3</v>
      </c>
      <c r="Q427" s="19">
        <f t="shared" ca="1" si="145"/>
        <v>0.1</v>
      </c>
      <c r="R427" s="1">
        <f t="shared" ca="1" si="146"/>
        <v>4508.1599999999989</v>
      </c>
      <c r="S427" s="1">
        <f t="shared" ca="1" si="130"/>
        <v>5</v>
      </c>
      <c r="T427" s="19">
        <f t="shared" ca="1" si="131"/>
        <v>7.9999999999999988E-2</v>
      </c>
      <c r="U427" s="1" t="str">
        <f t="shared" ca="1" si="132"/>
        <v>Low Discount</v>
      </c>
    </row>
    <row r="428" spans="1:21" ht="15.6" customHeight="1" x14ac:dyDescent="0.3">
      <c r="A428" s="1" t="str">
        <f t="shared" si="127"/>
        <v>ORD-427</v>
      </c>
      <c r="B428" s="10">
        <f t="shared" ca="1" si="128"/>
        <v>45332</v>
      </c>
      <c r="C428" s="7">
        <f t="shared" ca="1" si="129"/>
        <v>45336</v>
      </c>
      <c r="D428" s="1" t="str">
        <f t="shared" ca="1" si="147"/>
        <v>Standard Class</v>
      </c>
      <c r="E428" s="1" t="str">
        <f t="shared" ca="1" si="133"/>
        <v>CU-641</v>
      </c>
      <c r="F428" s="1" t="str">
        <f t="shared" ca="1" si="134"/>
        <v>Priya Singh</v>
      </c>
      <c r="G428" s="1" t="str">
        <f t="shared" ca="1" si="135"/>
        <v>Consumer</v>
      </c>
      <c r="H428" s="1" t="str">
        <f t="shared" si="136"/>
        <v>India</v>
      </c>
      <c r="I428" s="1" t="str">
        <f t="shared" ca="1" si="137"/>
        <v>South</v>
      </c>
      <c r="J428" s="1" t="str">
        <f t="shared" ca="1" si="138"/>
        <v>West Bengal</v>
      </c>
      <c r="K428" s="1" t="str">
        <f t="shared" ca="1" si="139"/>
        <v>Bangalore</v>
      </c>
      <c r="L428" s="1" t="str">
        <f t="shared" ca="1" si="140"/>
        <v>Technology</v>
      </c>
      <c r="M428" s="1" t="str">
        <f t="shared" ca="1" si="141"/>
        <v>Table</v>
      </c>
      <c r="N428" s="1" t="str">
        <f t="shared" ca="1" si="142"/>
        <v>Wireless Mouse</v>
      </c>
      <c r="O428" s="1">
        <f t="shared" ca="1" si="143"/>
        <v>21892</v>
      </c>
      <c r="P428" s="1">
        <f t="shared" ca="1" si="144"/>
        <v>1</v>
      </c>
      <c r="Q428" s="19">
        <f t="shared" ca="1" si="145"/>
        <v>0</v>
      </c>
      <c r="R428" s="1">
        <f t="shared" ca="1" si="146"/>
        <v>3940.56</v>
      </c>
      <c r="S428" s="1">
        <f t="shared" ca="1" si="130"/>
        <v>4</v>
      </c>
      <c r="T428" s="19">
        <f t="shared" ca="1" si="131"/>
        <v>0.18</v>
      </c>
      <c r="U428" s="1" t="str">
        <f t="shared" ca="1" si="132"/>
        <v>Low Discount</v>
      </c>
    </row>
    <row r="429" spans="1:21" ht="15.6" customHeight="1" x14ac:dyDescent="0.3">
      <c r="A429" s="1" t="str">
        <f t="shared" si="127"/>
        <v>ORD-428</v>
      </c>
      <c r="B429" s="10">
        <f t="shared" ca="1" si="128"/>
        <v>45306</v>
      </c>
      <c r="C429" s="7">
        <f t="shared" ca="1" si="129"/>
        <v>45309</v>
      </c>
      <c r="D429" s="1" t="str">
        <f t="shared" ca="1" si="147"/>
        <v>Same Day</v>
      </c>
      <c r="E429" s="1" t="str">
        <f t="shared" ca="1" si="133"/>
        <v>CU-633</v>
      </c>
      <c r="F429" s="1" t="str">
        <f t="shared" ca="1" si="134"/>
        <v>Pooja Yadav</v>
      </c>
      <c r="G429" s="1" t="str">
        <f t="shared" ca="1" si="135"/>
        <v>Home Office</v>
      </c>
      <c r="H429" s="1" t="str">
        <f t="shared" si="136"/>
        <v>India</v>
      </c>
      <c r="I429" s="1" t="str">
        <f t="shared" ca="1" si="137"/>
        <v>North</v>
      </c>
      <c r="J429" s="1" t="str">
        <f t="shared" ca="1" si="138"/>
        <v>Delhi</v>
      </c>
      <c r="K429" s="1" t="str">
        <f t="shared" ca="1" si="139"/>
        <v>Mumbai</v>
      </c>
      <c r="L429" s="1" t="str">
        <f t="shared" ca="1" si="140"/>
        <v>Office Supplies</v>
      </c>
      <c r="M429" s="1" t="str">
        <f t="shared" ca="1" si="141"/>
        <v>Laptop</v>
      </c>
      <c r="N429" s="1" t="str">
        <f t="shared" ca="1" si="142"/>
        <v>Wireless Mouse</v>
      </c>
      <c r="O429" s="1">
        <f t="shared" ca="1" si="143"/>
        <v>17589</v>
      </c>
      <c r="P429" s="1">
        <f t="shared" ca="1" si="144"/>
        <v>6</v>
      </c>
      <c r="Q429" s="19">
        <f t="shared" ca="1" si="145"/>
        <v>0</v>
      </c>
      <c r="R429" s="1">
        <f t="shared" ca="1" si="146"/>
        <v>3166.02</v>
      </c>
      <c r="S429" s="1">
        <f t="shared" ca="1" si="130"/>
        <v>3</v>
      </c>
      <c r="T429" s="19">
        <f t="shared" ca="1" si="131"/>
        <v>0.18</v>
      </c>
      <c r="U429" s="1" t="str">
        <f t="shared" ca="1" si="132"/>
        <v>Low Discount</v>
      </c>
    </row>
    <row r="430" spans="1:21" ht="15.6" customHeight="1" x14ac:dyDescent="0.3">
      <c r="A430" s="1" t="str">
        <f t="shared" si="127"/>
        <v>ORD-429</v>
      </c>
      <c r="B430" s="10">
        <f t="shared" ca="1" si="128"/>
        <v>45530</v>
      </c>
      <c r="C430" s="7">
        <f t="shared" ca="1" si="129"/>
        <v>45533</v>
      </c>
      <c r="D430" s="1" t="str">
        <f t="shared" ca="1" si="147"/>
        <v>Second Class</v>
      </c>
      <c r="E430" s="1" t="str">
        <f t="shared" ca="1" si="133"/>
        <v>CU-237</v>
      </c>
      <c r="F430" s="1" t="str">
        <f t="shared" ca="1" si="134"/>
        <v>Neha Gupta</v>
      </c>
      <c r="G430" s="1" t="str">
        <f t="shared" ca="1" si="135"/>
        <v>Corporate</v>
      </c>
      <c r="H430" s="1" t="str">
        <f t="shared" si="136"/>
        <v>India</v>
      </c>
      <c r="I430" s="1" t="str">
        <f t="shared" ca="1" si="137"/>
        <v>North</v>
      </c>
      <c r="J430" s="1" t="str">
        <f t="shared" ca="1" si="138"/>
        <v>Maharashtra</v>
      </c>
      <c r="K430" s="1" t="str">
        <f t="shared" ca="1" si="139"/>
        <v>Ahmedabad</v>
      </c>
      <c r="L430" s="1" t="str">
        <f t="shared" ca="1" si="140"/>
        <v>Office Supplies</v>
      </c>
      <c r="M430" s="1" t="str">
        <f t="shared" ca="1" si="141"/>
        <v>Table</v>
      </c>
      <c r="N430" s="1" t="str">
        <f t="shared" ca="1" si="142"/>
        <v>A4 Paper</v>
      </c>
      <c r="O430" s="1">
        <f t="shared" ca="1" si="143"/>
        <v>7083</v>
      </c>
      <c r="P430" s="1">
        <f t="shared" ca="1" si="144"/>
        <v>7</v>
      </c>
      <c r="Q430" s="19">
        <f t="shared" ca="1" si="145"/>
        <v>0.3</v>
      </c>
      <c r="R430" s="1">
        <f t="shared" ca="1" si="146"/>
        <v>-849.95999999999992</v>
      </c>
      <c r="S430" s="1">
        <f t="shared" ca="1" si="130"/>
        <v>3</v>
      </c>
      <c r="T430" s="19">
        <f t="shared" ca="1" si="131"/>
        <v>-0.12</v>
      </c>
      <c r="U430" s="1" t="str">
        <f t="shared" ca="1" si="132"/>
        <v>High Discount</v>
      </c>
    </row>
    <row r="431" spans="1:21" ht="15.6" customHeight="1" x14ac:dyDescent="0.3">
      <c r="A431" s="1" t="str">
        <f t="shared" si="127"/>
        <v>ORD-430</v>
      </c>
      <c r="B431" s="10">
        <f t="shared" ca="1" si="128"/>
        <v>45536</v>
      </c>
      <c r="C431" s="7">
        <f t="shared" ca="1" si="129"/>
        <v>45537</v>
      </c>
      <c r="D431" s="1" t="str">
        <f t="shared" ca="1" si="147"/>
        <v>Second Class</v>
      </c>
      <c r="E431" s="1" t="str">
        <f t="shared" ca="1" si="133"/>
        <v>CU-384</v>
      </c>
      <c r="F431" s="1" t="str">
        <f t="shared" ca="1" si="134"/>
        <v>Priya Singh</v>
      </c>
      <c r="G431" s="1" t="str">
        <f t="shared" ca="1" si="135"/>
        <v>Consumer</v>
      </c>
      <c r="H431" s="1" t="str">
        <f t="shared" si="136"/>
        <v>India</v>
      </c>
      <c r="I431" s="1" t="str">
        <f t="shared" ca="1" si="137"/>
        <v>South</v>
      </c>
      <c r="J431" s="1" t="str">
        <f t="shared" ca="1" si="138"/>
        <v>Karnataka</v>
      </c>
      <c r="K431" s="1" t="str">
        <f t="shared" ca="1" si="139"/>
        <v>Ahmedabad</v>
      </c>
      <c r="L431" s="1" t="str">
        <f t="shared" ca="1" si="140"/>
        <v>Office Supplies</v>
      </c>
      <c r="M431" s="1" t="str">
        <f t="shared" ca="1" si="141"/>
        <v>Paper</v>
      </c>
      <c r="N431" s="1" t="str">
        <f t="shared" ca="1" si="142"/>
        <v>A4 Paper</v>
      </c>
      <c r="O431" s="1">
        <f t="shared" ca="1" si="143"/>
        <v>13927</v>
      </c>
      <c r="P431" s="1">
        <f t="shared" ca="1" si="144"/>
        <v>5</v>
      </c>
      <c r="Q431" s="19">
        <f t="shared" ca="1" si="145"/>
        <v>0</v>
      </c>
      <c r="R431" s="1">
        <f t="shared" ca="1" si="146"/>
        <v>2506.86</v>
      </c>
      <c r="S431" s="1">
        <f t="shared" ca="1" si="130"/>
        <v>1</v>
      </c>
      <c r="T431" s="19">
        <f t="shared" ca="1" si="131"/>
        <v>0.18000000000000002</v>
      </c>
      <c r="U431" s="1" t="str">
        <f t="shared" ca="1" si="132"/>
        <v>Low Discount</v>
      </c>
    </row>
    <row r="432" spans="1:21" ht="15.6" customHeight="1" x14ac:dyDescent="0.3">
      <c r="A432" s="1" t="str">
        <f t="shared" si="127"/>
        <v>ORD-431</v>
      </c>
      <c r="B432" s="10">
        <f t="shared" ca="1" si="128"/>
        <v>45426</v>
      </c>
      <c r="C432" s="7">
        <f t="shared" ca="1" si="129"/>
        <v>45427</v>
      </c>
      <c r="D432" s="1" t="str">
        <f t="shared" ca="1" si="147"/>
        <v>Second Class</v>
      </c>
      <c r="E432" s="1" t="str">
        <f t="shared" ca="1" si="133"/>
        <v>CU-831</v>
      </c>
      <c r="F432" s="1" t="str">
        <f t="shared" ca="1" si="134"/>
        <v>Sunil Kumar</v>
      </c>
      <c r="G432" s="1" t="str">
        <f t="shared" ca="1" si="135"/>
        <v>Corporate</v>
      </c>
      <c r="H432" s="1" t="str">
        <f t="shared" si="136"/>
        <v>India</v>
      </c>
      <c r="I432" s="1" t="str">
        <f t="shared" ca="1" si="137"/>
        <v>South</v>
      </c>
      <c r="J432" s="1" t="str">
        <f t="shared" ca="1" si="138"/>
        <v>Gujarat</v>
      </c>
      <c r="K432" s="1" t="str">
        <f t="shared" ca="1" si="139"/>
        <v>Mumbai</v>
      </c>
      <c r="L432" s="1" t="str">
        <f t="shared" ca="1" si="140"/>
        <v>Technology</v>
      </c>
      <c r="M432" s="1" t="str">
        <f t="shared" ca="1" si="141"/>
        <v>Paper</v>
      </c>
      <c r="N432" s="1" t="str">
        <f t="shared" ca="1" si="142"/>
        <v>Office Chair</v>
      </c>
      <c r="O432" s="1">
        <f t="shared" ca="1" si="143"/>
        <v>54665</v>
      </c>
      <c r="P432" s="1">
        <f t="shared" ca="1" si="144"/>
        <v>8</v>
      </c>
      <c r="Q432" s="19">
        <f t="shared" ca="1" si="145"/>
        <v>0</v>
      </c>
      <c r="R432" s="1">
        <f t="shared" ca="1" si="146"/>
        <v>9839.6999999999989</v>
      </c>
      <c r="S432" s="1">
        <f t="shared" ca="1" si="130"/>
        <v>1</v>
      </c>
      <c r="T432" s="19">
        <f t="shared" ca="1" si="131"/>
        <v>0.18</v>
      </c>
      <c r="U432" s="1" t="str">
        <f t="shared" ca="1" si="132"/>
        <v>Low Discount</v>
      </c>
    </row>
    <row r="433" spans="1:21" ht="15.6" customHeight="1" x14ac:dyDescent="0.3">
      <c r="A433" s="1" t="str">
        <f t="shared" si="127"/>
        <v>ORD-432</v>
      </c>
      <c r="B433" s="10">
        <f t="shared" ca="1" si="128"/>
        <v>45638</v>
      </c>
      <c r="C433" s="7">
        <f t="shared" ca="1" si="129"/>
        <v>45640</v>
      </c>
      <c r="D433" s="1" t="str">
        <f t="shared" ca="1" si="147"/>
        <v>Standard Class</v>
      </c>
      <c r="E433" s="1" t="str">
        <f t="shared" ca="1" si="133"/>
        <v>CU-612</v>
      </c>
      <c r="F433" s="1" t="str">
        <f t="shared" ca="1" si="134"/>
        <v>Sunil Kumar</v>
      </c>
      <c r="G433" s="1" t="str">
        <f t="shared" ca="1" si="135"/>
        <v>Home Office</v>
      </c>
      <c r="H433" s="1" t="str">
        <f t="shared" si="136"/>
        <v>India</v>
      </c>
      <c r="I433" s="1" t="str">
        <f t="shared" ca="1" si="137"/>
        <v>East</v>
      </c>
      <c r="J433" s="1" t="str">
        <f t="shared" ca="1" si="138"/>
        <v>Karnataka</v>
      </c>
      <c r="K433" s="1" t="str">
        <f t="shared" ca="1" si="139"/>
        <v>Bangalore</v>
      </c>
      <c r="L433" s="1" t="str">
        <f t="shared" ca="1" si="140"/>
        <v>Technology</v>
      </c>
      <c r="M433" s="1" t="str">
        <f t="shared" ca="1" si="141"/>
        <v>Mobile</v>
      </c>
      <c r="N433" s="1" t="str">
        <f t="shared" ca="1" si="142"/>
        <v>Office Table</v>
      </c>
      <c r="O433" s="1">
        <f t="shared" ca="1" si="143"/>
        <v>27326</v>
      </c>
      <c r="P433" s="1">
        <f t="shared" ca="1" si="144"/>
        <v>1</v>
      </c>
      <c r="Q433" s="19">
        <f t="shared" ca="1" si="145"/>
        <v>0</v>
      </c>
      <c r="R433" s="1">
        <f t="shared" ca="1" si="146"/>
        <v>4918.6799999999994</v>
      </c>
      <c r="S433" s="1">
        <f t="shared" ca="1" si="130"/>
        <v>2</v>
      </c>
      <c r="T433" s="19">
        <f t="shared" ca="1" si="131"/>
        <v>0.17999999999999997</v>
      </c>
      <c r="U433" s="1" t="str">
        <f t="shared" ca="1" si="132"/>
        <v>Low Discount</v>
      </c>
    </row>
    <row r="434" spans="1:21" ht="15.6" customHeight="1" x14ac:dyDescent="0.3">
      <c r="A434" s="1" t="str">
        <f t="shared" si="127"/>
        <v>ORD-433</v>
      </c>
      <c r="B434" s="10">
        <f t="shared" ca="1" si="128"/>
        <v>45457</v>
      </c>
      <c r="C434" s="7">
        <f t="shared" ca="1" si="129"/>
        <v>45459</v>
      </c>
      <c r="D434" s="1" t="str">
        <f t="shared" ca="1" si="147"/>
        <v>Second Class</v>
      </c>
      <c r="E434" s="1" t="str">
        <f t="shared" ca="1" si="133"/>
        <v>CU-468</v>
      </c>
      <c r="F434" s="1" t="str">
        <f t="shared" ca="1" si="134"/>
        <v>Neha Gupta</v>
      </c>
      <c r="G434" s="1" t="str">
        <f t="shared" ca="1" si="135"/>
        <v>Home Office</v>
      </c>
      <c r="H434" s="1" t="str">
        <f t="shared" si="136"/>
        <v>India</v>
      </c>
      <c r="I434" s="1" t="str">
        <f t="shared" ca="1" si="137"/>
        <v>West</v>
      </c>
      <c r="J434" s="1" t="str">
        <f t="shared" ca="1" si="138"/>
        <v>West Bengal</v>
      </c>
      <c r="K434" s="1" t="str">
        <f t="shared" ca="1" si="139"/>
        <v>Bangalore</v>
      </c>
      <c r="L434" s="1" t="str">
        <f t="shared" ca="1" si="140"/>
        <v>Furniture</v>
      </c>
      <c r="M434" s="1" t="str">
        <f t="shared" ca="1" si="141"/>
        <v>Chair</v>
      </c>
      <c r="N434" s="1" t="str">
        <f t="shared" ca="1" si="142"/>
        <v>Office Table</v>
      </c>
      <c r="O434" s="1">
        <f t="shared" ca="1" si="143"/>
        <v>31189</v>
      </c>
      <c r="P434" s="1">
        <f t="shared" ca="1" si="144"/>
        <v>10</v>
      </c>
      <c r="Q434" s="19">
        <f t="shared" ca="1" si="145"/>
        <v>0.2</v>
      </c>
      <c r="R434" s="1">
        <f t="shared" ca="1" si="146"/>
        <v>-623.78000000000054</v>
      </c>
      <c r="S434" s="1">
        <f t="shared" ca="1" si="130"/>
        <v>2</v>
      </c>
      <c r="T434" s="19">
        <f t="shared" ca="1" si="131"/>
        <v>-2.0000000000000018E-2</v>
      </c>
      <c r="U434" s="1" t="str">
        <f t="shared" ca="1" si="132"/>
        <v>High Discount</v>
      </c>
    </row>
    <row r="435" spans="1:21" ht="15.6" customHeight="1" x14ac:dyDescent="0.3">
      <c r="A435" s="1" t="str">
        <f t="shared" si="127"/>
        <v>ORD-434</v>
      </c>
      <c r="B435" s="10">
        <f t="shared" ca="1" si="128"/>
        <v>45364</v>
      </c>
      <c r="C435" s="7">
        <f t="shared" ca="1" si="129"/>
        <v>45364</v>
      </c>
      <c r="D435" s="1" t="str">
        <f t="shared" ca="1" si="147"/>
        <v>Second Class</v>
      </c>
      <c r="E435" s="1" t="str">
        <f t="shared" ca="1" si="133"/>
        <v>CU-496</v>
      </c>
      <c r="F435" s="1" t="str">
        <f t="shared" ca="1" si="134"/>
        <v>Amit Verma</v>
      </c>
      <c r="G435" s="1" t="str">
        <f t="shared" ca="1" si="135"/>
        <v>Corporate</v>
      </c>
      <c r="H435" s="1" t="str">
        <f t="shared" si="136"/>
        <v>India</v>
      </c>
      <c r="I435" s="1" t="str">
        <f t="shared" ca="1" si="137"/>
        <v>South</v>
      </c>
      <c r="J435" s="1" t="str">
        <f t="shared" ca="1" si="138"/>
        <v>Maharashtra</v>
      </c>
      <c r="K435" s="1" t="str">
        <f t="shared" ca="1" si="139"/>
        <v>Kolkata</v>
      </c>
      <c r="L435" s="1" t="str">
        <f t="shared" ca="1" si="140"/>
        <v>Office Supplies</v>
      </c>
      <c r="M435" s="1" t="str">
        <f t="shared" ca="1" si="141"/>
        <v>Laptop</v>
      </c>
      <c r="N435" s="1" t="str">
        <f t="shared" ca="1" si="142"/>
        <v>Wireless Mouse</v>
      </c>
      <c r="O435" s="1">
        <f t="shared" ca="1" si="143"/>
        <v>46211</v>
      </c>
      <c r="P435" s="1">
        <f t="shared" ca="1" si="144"/>
        <v>3</v>
      </c>
      <c r="Q435" s="19">
        <f t="shared" ca="1" si="145"/>
        <v>0.3</v>
      </c>
      <c r="R435" s="1">
        <f t="shared" ca="1" si="146"/>
        <v>-5545.32</v>
      </c>
      <c r="S435" s="1">
        <f t="shared" ca="1" si="130"/>
        <v>0</v>
      </c>
      <c r="T435" s="19">
        <f t="shared" ca="1" si="131"/>
        <v>-0.12</v>
      </c>
      <c r="U435" s="1" t="str">
        <f t="shared" ca="1" si="132"/>
        <v>High Discount</v>
      </c>
    </row>
    <row r="436" spans="1:21" ht="15.6" customHeight="1" x14ac:dyDescent="0.3">
      <c r="A436" s="1" t="str">
        <f t="shared" si="127"/>
        <v>ORD-435</v>
      </c>
      <c r="B436" s="10">
        <f t="shared" ca="1" si="128"/>
        <v>45476</v>
      </c>
      <c r="C436" s="7">
        <f t="shared" ca="1" si="129"/>
        <v>45478</v>
      </c>
      <c r="D436" s="1" t="str">
        <f t="shared" ca="1" si="147"/>
        <v>Same Day</v>
      </c>
      <c r="E436" s="1" t="str">
        <f t="shared" ca="1" si="133"/>
        <v>CU-139</v>
      </c>
      <c r="F436" s="1" t="str">
        <f t="shared" ca="1" si="134"/>
        <v>Neha Gupta</v>
      </c>
      <c r="G436" s="1" t="str">
        <f t="shared" ca="1" si="135"/>
        <v>Home Office</v>
      </c>
      <c r="H436" s="1" t="str">
        <f t="shared" si="136"/>
        <v>India</v>
      </c>
      <c r="I436" s="1" t="str">
        <f t="shared" ca="1" si="137"/>
        <v>South</v>
      </c>
      <c r="J436" s="1" t="str">
        <f t="shared" ca="1" si="138"/>
        <v>Delhi</v>
      </c>
      <c r="K436" s="1" t="str">
        <f t="shared" ca="1" si="139"/>
        <v>Delhi</v>
      </c>
      <c r="L436" s="1" t="str">
        <f t="shared" ca="1" si="140"/>
        <v>Furniture</v>
      </c>
      <c r="M436" s="1" t="str">
        <f t="shared" ca="1" si="141"/>
        <v>Table</v>
      </c>
      <c r="N436" s="1" t="str">
        <f t="shared" ca="1" si="142"/>
        <v>Office Chair</v>
      </c>
      <c r="O436" s="1">
        <f t="shared" ca="1" si="143"/>
        <v>17626</v>
      </c>
      <c r="P436" s="1">
        <f t="shared" ca="1" si="144"/>
        <v>9</v>
      </c>
      <c r="Q436" s="19">
        <f t="shared" ca="1" si="145"/>
        <v>0.3</v>
      </c>
      <c r="R436" s="1">
        <f t="shared" ca="1" si="146"/>
        <v>-2115.12</v>
      </c>
      <c r="S436" s="1">
        <f t="shared" ca="1" si="130"/>
        <v>2</v>
      </c>
      <c r="T436" s="19">
        <f t="shared" ca="1" si="131"/>
        <v>-0.12</v>
      </c>
      <c r="U436" s="1" t="str">
        <f t="shared" ca="1" si="132"/>
        <v>High Discount</v>
      </c>
    </row>
    <row r="437" spans="1:21" ht="15.6" customHeight="1" x14ac:dyDescent="0.3">
      <c r="A437" s="1" t="str">
        <f t="shared" si="127"/>
        <v>ORD-436</v>
      </c>
      <c r="B437" s="10">
        <f t="shared" ca="1" si="128"/>
        <v>45343</v>
      </c>
      <c r="C437" s="7">
        <f t="shared" ca="1" si="129"/>
        <v>45348</v>
      </c>
      <c r="D437" s="1" t="str">
        <f t="shared" ca="1" si="147"/>
        <v>Same Day</v>
      </c>
      <c r="E437" s="1" t="str">
        <f t="shared" ca="1" si="133"/>
        <v>CU-215</v>
      </c>
      <c r="F437" s="1" t="str">
        <f t="shared" ca="1" si="134"/>
        <v>Pooja Yadav</v>
      </c>
      <c r="G437" s="1" t="str">
        <f t="shared" ca="1" si="135"/>
        <v>Consumer</v>
      </c>
      <c r="H437" s="1" t="str">
        <f t="shared" si="136"/>
        <v>India</v>
      </c>
      <c r="I437" s="1" t="str">
        <f t="shared" ca="1" si="137"/>
        <v>North</v>
      </c>
      <c r="J437" s="1" t="str">
        <f t="shared" ca="1" si="138"/>
        <v>West Bengal</v>
      </c>
      <c r="K437" s="1" t="str">
        <f t="shared" ca="1" si="139"/>
        <v>Ahmedabad</v>
      </c>
      <c r="L437" s="1" t="str">
        <f t="shared" ca="1" si="140"/>
        <v>Furniture</v>
      </c>
      <c r="M437" s="1" t="str">
        <f t="shared" ca="1" si="141"/>
        <v>Mobile</v>
      </c>
      <c r="N437" s="1" t="str">
        <f t="shared" ca="1" si="142"/>
        <v>Wireless Mouse</v>
      </c>
      <c r="O437" s="1">
        <f t="shared" ca="1" si="143"/>
        <v>25541</v>
      </c>
      <c r="P437" s="1">
        <f t="shared" ca="1" si="144"/>
        <v>4</v>
      </c>
      <c r="Q437" s="19">
        <f t="shared" ca="1" si="145"/>
        <v>0.2</v>
      </c>
      <c r="R437" s="1">
        <f t="shared" ca="1" si="146"/>
        <v>-510.82000000000045</v>
      </c>
      <c r="S437" s="1">
        <f t="shared" ca="1" si="130"/>
        <v>5</v>
      </c>
      <c r="T437" s="19">
        <f t="shared" ca="1" si="131"/>
        <v>-2.0000000000000018E-2</v>
      </c>
      <c r="U437" s="1" t="str">
        <f t="shared" ca="1" si="132"/>
        <v>High Discount</v>
      </c>
    </row>
    <row r="438" spans="1:21" ht="15.6" customHeight="1" x14ac:dyDescent="0.3">
      <c r="A438" s="1" t="str">
        <f t="shared" si="127"/>
        <v>ORD-437</v>
      </c>
      <c r="B438" s="10">
        <f t="shared" ca="1" si="128"/>
        <v>45508</v>
      </c>
      <c r="C438" s="7">
        <f t="shared" ca="1" si="129"/>
        <v>45509</v>
      </c>
      <c r="D438" s="1" t="str">
        <f t="shared" ca="1" si="147"/>
        <v>Standard Class</v>
      </c>
      <c r="E438" s="1" t="str">
        <f t="shared" ca="1" si="133"/>
        <v>CU-470</v>
      </c>
      <c r="F438" s="1" t="str">
        <f t="shared" ca="1" si="134"/>
        <v>Ravi Mehta</v>
      </c>
      <c r="G438" s="1" t="str">
        <f t="shared" ca="1" si="135"/>
        <v>Consumer</v>
      </c>
      <c r="H438" s="1" t="str">
        <f t="shared" si="136"/>
        <v>India</v>
      </c>
      <c r="I438" s="1" t="str">
        <f t="shared" ca="1" si="137"/>
        <v>South</v>
      </c>
      <c r="J438" s="1" t="str">
        <f t="shared" ca="1" si="138"/>
        <v>West Bengal</v>
      </c>
      <c r="K438" s="1" t="str">
        <f t="shared" ca="1" si="139"/>
        <v>Ahmedabad</v>
      </c>
      <c r="L438" s="1" t="str">
        <f t="shared" ca="1" si="140"/>
        <v>Technology</v>
      </c>
      <c r="M438" s="1" t="str">
        <f t="shared" ca="1" si="141"/>
        <v>Table</v>
      </c>
      <c r="N438" s="1" t="str">
        <f t="shared" ca="1" si="142"/>
        <v>Samsung Galaxy</v>
      </c>
      <c r="O438" s="1">
        <f t="shared" ca="1" si="143"/>
        <v>38469</v>
      </c>
      <c r="P438" s="1">
        <f t="shared" ca="1" si="144"/>
        <v>10</v>
      </c>
      <c r="Q438" s="19">
        <f t="shared" ca="1" si="145"/>
        <v>0.3</v>
      </c>
      <c r="R438" s="1">
        <f t="shared" ca="1" si="146"/>
        <v>-4616.28</v>
      </c>
      <c r="S438" s="1">
        <f t="shared" ca="1" si="130"/>
        <v>1</v>
      </c>
      <c r="T438" s="19">
        <f t="shared" ca="1" si="131"/>
        <v>-0.12</v>
      </c>
      <c r="U438" s="1" t="str">
        <f t="shared" ca="1" si="132"/>
        <v>High Discount</v>
      </c>
    </row>
    <row r="439" spans="1:21" ht="15.6" customHeight="1" x14ac:dyDescent="0.3">
      <c r="A439" s="1" t="str">
        <f t="shared" si="127"/>
        <v>ORD-438</v>
      </c>
      <c r="B439" s="10">
        <f t="shared" ca="1" si="128"/>
        <v>45449</v>
      </c>
      <c r="C439" s="7">
        <f t="shared" ca="1" si="129"/>
        <v>45453</v>
      </c>
      <c r="D439" s="1" t="str">
        <f t="shared" ca="1" si="147"/>
        <v>Same Day</v>
      </c>
      <c r="E439" s="1" t="str">
        <f t="shared" ca="1" si="133"/>
        <v>CU-377</v>
      </c>
      <c r="F439" s="1" t="str">
        <f t="shared" ca="1" si="134"/>
        <v>Sunil Kumar</v>
      </c>
      <c r="G439" s="1" t="str">
        <f t="shared" ca="1" si="135"/>
        <v>Corporate</v>
      </c>
      <c r="H439" s="1" t="str">
        <f t="shared" si="136"/>
        <v>India</v>
      </c>
      <c r="I439" s="1" t="str">
        <f t="shared" ca="1" si="137"/>
        <v>South</v>
      </c>
      <c r="J439" s="1" t="str">
        <f t="shared" ca="1" si="138"/>
        <v>West Bengal</v>
      </c>
      <c r="K439" s="1" t="str">
        <f t="shared" ca="1" si="139"/>
        <v>Mumbai</v>
      </c>
      <c r="L439" s="1" t="str">
        <f t="shared" ca="1" si="140"/>
        <v>Furniture</v>
      </c>
      <c r="M439" s="1" t="str">
        <f t="shared" ca="1" si="141"/>
        <v>Chair</v>
      </c>
      <c r="N439" s="1" t="str">
        <f t="shared" ca="1" si="142"/>
        <v>HP Pavilion</v>
      </c>
      <c r="O439" s="1">
        <f t="shared" ca="1" si="143"/>
        <v>29618</v>
      </c>
      <c r="P439" s="1">
        <f t="shared" ca="1" si="144"/>
        <v>1</v>
      </c>
      <c r="Q439" s="19">
        <f t="shared" ca="1" si="145"/>
        <v>0.2</v>
      </c>
      <c r="R439" s="1">
        <f t="shared" ca="1" si="146"/>
        <v>-592.36000000000058</v>
      </c>
      <c r="S439" s="1">
        <f t="shared" ca="1" si="130"/>
        <v>4</v>
      </c>
      <c r="T439" s="19">
        <f t="shared" ca="1" si="131"/>
        <v>-2.0000000000000021E-2</v>
      </c>
      <c r="U439" s="1" t="str">
        <f t="shared" ca="1" si="132"/>
        <v>High Discount</v>
      </c>
    </row>
    <row r="440" spans="1:21" ht="15.6" customHeight="1" x14ac:dyDescent="0.3">
      <c r="A440" s="1" t="str">
        <f t="shared" si="127"/>
        <v>ORD-439</v>
      </c>
      <c r="B440" s="10">
        <f t="shared" ca="1" si="128"/>
        <v>45401</v>
      </c>
      <c r="C440" s="7">
        <f t="shared" ca="1" si="129"/>
        <v>45401</v>
      </c>
      <c r="D440" s="1" t="str">
        <f t="shared" ca="1" si="147"/>
        <v>Second Class</v>
      </c>
      <c r="E440" s="1" t="str">
        <f t="shared" ca="1" si="133"/>
        <v>CU-405</v>
      </c>
      <c r="F440" s="1" t="str">
        <f t="shared" ca="1" si="134"/>
        <v>Amit Verma</v>
      </c>
      <c r="G440" s="1" t="str">
        <f t="shared" ca="1" si="135"/>
        <v>Corporate</v>
      </c>
      <c r="H440" s="1" t="str">
        <f t="shared" si="136"/>
        <v>India</v>
      </c>
      <c r="I440" s="1" t="str">
        <f t="shared" ca="1" si="137"/>
        <v>East</v>
      </c>
      <c r="J440" s="1" t="str">
        <f t="shared" ca="1" si="138"/>
        <v>Tamil Nadu</v>
      </c>
      <c r="K440" s="1" t="str">
        <f t="shared" ca="1" si="139"/>
        <v>Mumbai</v>
      </c>
      <c r="L440" s="1" t="str">
        <f t="shared" ca="1" si="140"/>
        <v>Furniture</v>
      </c>
      <c r="M440" s="1" t="str">
        <f t="shared" ca="1" si="141"/>
        <v>Table</v>
      </c>
      <c r="N440" s="1" t="str">
        <f t="shared" ca="1" si="142"/>
        <v>Samsung Galaxy</v>
      </c>
      <c r="O440" s="1">
        <f t="shared" ca="1" si="143"/>
        <v>42686</v>
      </c>
      <c r="P440" s="1">
        <f t="shared" ca="1" si="144"/>
        <v>4</v>
      </c>
      <c r="Q440" s="19">
        <f t="shared" ca="1" si="145"/>
        <v>0.1</v>
      </c>
      <c r="R440" s="1">
        <f t="shared" ca="1" si="146"/>
        <v>3414.8799999999997</v>
      </c>
      <c r="S440" s="1">
        <f t="shared" ca="1" si="130"/>
        <v>0</v>
      </c>
      <c r="T440" s="19">
        <f t="shared" ca="1" si="131"/>
        <v>7.9999999999999988E-2</v>
      </c>
      <c r="U440" s="1" t="str">
        <f t="shared" ca="1" si="132"/>
        <v>Low Discount</v>
      </c>
    </row>
    <row r="441" spans="1:21" ht="15.6" customHeight="1" x14ac:dyDescent="0.3">
      <c r="A441" s="1" t="str">
        <f t="shared" si="127"/>
        <v>ORD-440</v>
      </c>
      <c r="B441" s="10">
        <f t="shared" ca="1" si="128"/>
        <v>45429</v>
      </c>
      <c r="C441" s="7">
        <f t="shared" ca="1" si="129"/>
        <v>45434</v>
      </c>
      <c r="D441" s="1" t="str">
        <f t="shared" ca="1" si="147"/>
        <v>Standard Class</v>
      </c>
      <c r="E441" s="1" t="str">
        <f t="shared" ca="1" si="133"/>
        <v>CU-392</v>
      </c>
      <c r="F441" s="1" t="str">
        <f t="shared" ca="1" si="134"/>
        <v>Ravi Mehta</v>
      </c>
      <c r="G441" s="1" t="str">
        <f t="shared" ca="1" si="135"/>
        <v>Consumer</v>
      </c>
      <c r="H441" s="1" t="str">
        <f t="shared" si="136"/>
        <v>India</v>
      </c>
      <c r="I441" s="1" t="str">
        <f t="shared" ca="1" si="137"/>
        <v>East</v>
      </c>
      <c r="J441" s="1" t="str">
        <f t="shared" ca="1" si="138"/>
        <v>Tamil Nadu</v>
      </c>
      <c r="K441" s="1" t="str">
        <f t="shared" ca="1" si="139"/>
        <v>Mumbai</v>
      </c>
      <c r="L441" s="1" t="str">
        <f t="shared" ca="1" si="140"/>
        <v>Office Supplies</v>
      </c>
      <c r="M441" s="1" t="str">
        <f t="shared" ca="1" si="141"/>
        <v>Paper</v>
      </c>
      <c r="N441" s="1" t="str">
        <f t="shared" ca="1" si="142"/>
        <v>HP Pavilion</v>
      </c>
      <c r="O441" s="1">
        <f t="shared" ca="1" si="143"/>
        <v>22404</v>
      </c>
      <c r="P441" s="1">
        <f t="shared" ca="1" si="144"/>
        <v>7</v>
      </c>
      <c r="Q441" s="19">
        <f t="shared" ca="1" si="145"/>
        <v>0.2</v>
      </c>
      <c r="R441" s="1">
        <f t="shared" ca="1" si="146"/>
        <v>-448.08000000000038</v>
      </c>
      <c r="S441" s="1">
        <f t="shared" ca="1" si="130"/>
        <v>5</v>
      </c>
      <c r="T441" s="19">
        <f t="shared" ca="1" si="131"/>
        <v>-2.0000000000000018E-2</v>
      </c>
      <c r="U441" s="1" t="str">
        <f t="shared" ca="1" si="132"/>
        <v>High Discount</v>
      </c>
    </row>
    <row r="442" spans="1:21" ht="15.6" customHeight="1" x14ac:dyDescent="0.3">
      <c r="A442" s="1" t="str">
        <f t="shared" si="127"/>
        <v>ORD-441</v>
      </c>
      <c r="B442" s="10">
        <f t="shared" ca="1" si="128"/>
        <v>45351</v>
      </c>
      <c r="C442" s="7">
        <f t="shared" ca="1" si="129"/>
        <v>45353</v>
      </c>
      <c r="D442" s="1" t="str">
        <f t="shared" ca="1" si="147"/>
        <v>Second Class</v>
      </c>
      <c r="E442" s="1" t="str">
        <f t="shared" ca="1" si="133"/>
        <v>CU-811</v>
      </c>
      <c r="F442" s="1" t="str">
        <f t="shared" ca="1" si="134"/>
        <v>Ravi Mehta</v>
      </c>
      <c r="G442" s="1" t="str">
        <f t="shared" ca="1" si="135"/>
        <v>Consumer</v>
      </c>
      <c r="H442" s="1" t="str">
        <f t="shared" si="136"/>
        <v>India</v>
      </c>
      <c r="I442" s="1" t="str">
        <f t="shared" ca="1" si="137"/>
        <v>West</v>
      </c>
      <c r="J442" s="1" t="str">
        <f t="shared" ca="1" si="138"/>
        <v>Delhi</v>
      </c>
      <c r="K442" s="1" t="str">
        <f t="shared" ca="1" si="139"/>
        <v>Bangalore</v>
      </c>
      <c r="L442" s="1" t="str">
        <f t="shared" ca="1" si="140"/>
        <v>Technology</v>
      </c>
      <c r="M442" s="1" t="str">
        <f t="shared" ca="1" si="141"/>
        <v>Laptop</v>
      </c>
      <c r="N442" s="1" t="str">
        <f t="shared" ca="1" si="142"/>
        <v>HP Pavilion</v>
      </c>
      <c r="O442" s="1">
        <f t="shared" ca="1" si="143"/>
        <v>33456</v>
      </c>
      <c r="P442" s="1">
        <f t="shared" ca="1" si="144"/>
        <v>7</v>
      </c>
      <c r="Q442" s="19">
        <f t="shared" ca="1" si="145"/>
        <v>0.1</v>
      </c>
      <c r="R442" s="1">
        <f t="shared" ca="1" si="146"/>
        <v>2676.4799999999996</v>
      </c>
      <c r="S442" s="1">
        <f t="shared" ca="1" si="130"/>
        <v>2</v>
      </c>
      <c r="T442" s="19">
        <f t="shared" ca="1" si="131"/>
        <v>7.9999999999999988E-2</v>
      </c>
      <c r="U442" s="1" t="str">
        <f t="shared" ca="1" si="132"/>
        <v>Low Discount</v>
      </c>
    </row>
    <row r="443" spans="1:21" ht="15.6" customHeight="1" x14ac:dyDescent="0.3">
      <c r="A443" s="1" t="str">
        <f t="shared" si="127"/>
        <v>ORD-442</v>
      </c>
      <c r="B443" s="10">
        <f t="shared" ca="1" si="128"/>
        <v>45605</v>
      </c>
      <c r="C443" s="7">
        <f t="shared" ca="1" si="129"/>
        <v>45609</v>
      </c>
      <c r="D443" s="1" t="str">
        <f t="shared" ca="1" si="147"/>
        <v>Same Day</v>
      </c>
      <c r="E443" s="1" t="str">
        <f t="shared" ca="1" si="133"/>
        <v>CU-571</v>
      </c>
      <c r="F443" s="1" t="str">
        <f t="shared" ca="1" si="134"/>
        <v>Rahul Sharma</v>
      </c>
      <c r="G443" s="1" t="str">
        <f t="shared" ca="1" si="135"/>
        <v>Corporate</v>
      </c>
      <c r="H443" s="1" t="str">
        <f t="shared" si="136"/>
        <v>India</v>
      </c>
      <c r="I443" s="1" t="str">
        <f t="shared" ca="1" si="137"/>
        <v>West</v>
      </c>
      <c r="J443" s="1" t="str">
        <f t="shared" ca="1" si="138"/>
        <v>Gujarat</v>
      </c>
      <c r="K443" s="1" t="str">
        <f t="shared" ca="1" si="139"/>
        <v>Ahmedabad</v>
      </c>
      <c r="L443" s="1" t="str">
        <f t="shared" ca="1" si="140"/>
        <v>Office Supplies</v>
      </c>
      <c r="M443" s="1" t="str">
        <f t="shared" ca="1" si="141"/>
        <v>Table</v>
      </c>
      <c r="N443" s="1" t="str">
        <f t="shared" ca="1" si="142"/>
        <v>A4 Paper</v>
      </c>
      <c r="O443" s="1">
        <f t="shared" ca="1" si="143"/>
        <v>28301</v>
      </c>
      <c r="P443" s="1">
        <f t="shared" ca="1" si="144"/>
        <v>4</v>
      </c>
      <c r="Q443" s="19">
        <f t="shared" ca="1" si="145"/>
        <v>0</v>
      </c>
      <c r="R443" s="1">
        <f t="shared" ca="1" si="146"/>
        <v>5094.1799999999994</v>
      </c>
      <c r="S443" s="1">
        <f t="shared" ca="1" si="130"/>
        <v>4</v>
      </c>
      <c r="T443" s="19">
        <f t="shared" ca="1" si="131"/>
        <v>0.17999999999999997</v>
      </c>
      <c r="U443" s="1" t="str">
        <f t="shared" ca="1" si="132"/>
        <v>Low Discount</v>
      </c>
    </row>
    <row r="444" spans="1:21" ht="15.6" customHeight="1" x14ac:dyDescent="0.3">
      <c r="A444" s="1" t="str">
        <f t="shared" si="127"/>
        <v>ORD-443</v>
      </c>
      <c r="B444" s="10">
        <f t="shared" ca="1" si="128"/>
        <v>45587</v>
      </c>
      <c r="C444" s="7">
        <f t="shared" ca="1" si="129"/>
        <v>45589</v>
      </c>
      <c r="D444" s="1" t="str">
        <f t="shared" ca="1" si="147"/>
        <v>Same Day</v>
      </c>
      <c r="E444" s="1" t="str">
        <f t="shared" ca="1" si="133"/>
        <v>CU-746</v>
      </c>
      <c r="F444" s="1" t="str">
        <f t="shared" ca="1" si="134"/>
        <v>Amit Verma</v>
      </c>
      <c r="G444" s="1" t="str">
        <f t="shared" ca="1" si="135"/>
        <v>Home Office</v>
      </c>
      <c r="H444" s="1" t="str">
        <f t="shared" si="136"/>
        <v>India</v>
      </c>
      <c r="I444" s="1" t="str">
        <f t="shared" ca="1" si="137"/>
        <v>West</v>
      </c>
      <c r="J444" s="1" t="str">
        <f t="shared" ca="1" si="138"/>
        <v>West Bengal</v>
      </c>
      <c r="K444" s="1" t="str">
        <f t="shared" ca="1" si="139"/>
        <v>Bangalore</v>
      </c>
      <c r="L444" s="1" t="str">
        <f t="shared" ca="1" si="140"/>
        <v>Office Supplies</v>
      </c>
      <c r="M444" s="1" t="str">
        <f t="shared" ca="1" si="141"/>
        <v>Table</v>
      </c>
      <c r="N444" s="1" t="str">
        <f t="shared" ca="1" si="142"/>
        <v>Office Chair</v>
      </c>
      <c r="O444" s="1">
        <f t="shared" ca="1" si="143"/>
        <v>952</v>
      </c>
      <c r="P444" s="1">
        <f t="shared" ca="1" si="144"/>
        <v>2</v>
      </c>
      <c r="Q444" s="19">
        <f t="shared" ca="1" si="145"/>
        <v>0</v>
      </c>
      <c r="R444" s="1">
        <f t="shared" ca="1" si="146"/>
        <v>171.35999999999999</v>
      </c>
      <c r="S444" s="1">
        <f t="shared" ca="1" si="130"/>
        <v>2</v>
      </c>
      <c r="T444" s="19">
        <f t="shared" ca="1" si="131"/>
        <v>0.18</v>
      </c>
      <c r="U444" s="1" t="str">
        <f t="shared" ca="1" si="132"/>
        <v>Low Discount</v>
      </c>
    </row>
    <row r="445" spans="1:21" ht="15.6" customHeight="1" x14ac:dyDescent="0.3">
      <c r="A445" s="1" t="str">
        <f t="shared" si="127"/>
        <v>ORD-444</v>
      </c>
      <c r="B445" s="10">
        <f t="shared" ca="1" si="128"/>
        <v>45339</v>
      </c>
      <c r="C445" s="7">
        <f t="shared" ca="1" si="129"/>
        <v>45343</v>
      </c>
      <c r="D445" s="1" t="str">
        <f t="shared" ca="1" si="147"/>
        <v>Standard Class</v>
      </c>
      <c r="E445" s="1" t="str">
        <f t="shared" ca="1" si="133"/>
        <v>CU-595</v>
      </c>
      <c r="F445" s="1" t="str">
        <f t="shared" ca="1" si="134"/>
        <v>Amit Verma</v>
      </c>
      <c r="G445" s="1" t="str">
        <f t="shared" ca="1" si="135"/>
        <v>Corporate</v>
      </c>
      <c r="H445" s="1" t="str">
        <f t="shared" si="136"/>
        <v>India</v>
      </c>
      <c r="I445" s="1" t="str">
        <f t="shared" ca="1" si="137"/>
        <v>North</v>
      </c>
      <c r="J445" s="1" t="str">
        <f t="shared" ca="1" si="138"/>
        <v>West Bengal</v>
      </c>
      <c r="K445" s="1" t="str">
        <f t="shared" ca="1" si="139"/>
        <v>Delhi</v>
      </c>
      <c r="L445" s="1" t="str">
        <f t="shared" ca="1" si="140"/>
        <v>Office Supplies</v>
      </c>
      <c r="M445" s="1" t="str">
        <f t="shared" ca="1" si="141"/>
        <v>Mobile</v>
      </c>
      <c r="N445" s="1" t="str">
        <f t="shared" ca="1" si="142"/>
        <v>Samsung Galaxy</v>
      </c>
      <c r="O445" s="1">
        <f t="shared" ca="1" si="143"/>
        <v>29239</v>
      </c>
      <c r="P445" s="1">
        <f t="shared" ca="1" si="144"/>
        <v>5</v>
      </c>
      <c r="Q445" s="19">
        <f t="shared" ca="1" si="145"/>
        <v>0.1</v>
      </c>
      <c r="R445" s="1">
        <f t="shared" ca="1" si="146"/>
        <v>2339.1199999999994</v>
      </c>
      <c r="S445" s="1">
        <f t="shared" ca="1" si="130"/>
        <v>4</v>
      </c>
      <c r="T445" s="19">
        <f t="shared" ca="1" si="131"/>
        <v>7.9999999999999974E-2</v>
      </c>
      <c r="U445" s="1" t="str">
        <f t="shared" ca="1" si="132"/>
        <v>Low Discount</v>
      </c>
    </row>
    <row r="446" spans="1:21" ht="15.6" customHeight="1" x14ac:dyDescent="0.3">
      <c r="A446" s="1" t="str">
        <f t="shared" si="127"/>
        <v>ORD-445</v>
      </c>
      <c r="B446" s="10">
        <f t="shared" ca="1" si="128"/>
        <v>45558</v>
      </c>
      <c r="C446" s="7">
        <f t="shared" ca="1" si="129"/>
        <v>45563</v>
      </c>
      <c r="D446" s="1" t="str">
        <f t="shared" ca="1" si="147"/>
        <v>Standard Class</v>
      </c>
      <c r="E446" s="1" t="str">
        <f t="shared" ca="1" si="133"/>
        <v>CU-202</v>
      </c>
      <c r="F446" s="1" t="str">
        <f t="shared" ca="1" si="134"/>
        <v>Rahul Sharma</v>
      </c>
      <c r="G446" s="1" t="str">
        <f t="shared" ca="1" si="135"/>
        <v>Home Office</v>
      </c>
      <c r="H446" s="1" t="str">
        <f t="shared" si="136"/>
        <v>India</v>
      </c>
      <c r="I446" s="1" t="str">
        <f t="shared" ca="1" si="137"/>
        <v>East</v>
      </c>
      <c r="J446" s="1" t="str">
        <f t="shared" ca="1" si="138"/>
        <v>West Bengal</v>
      </c>
      <c r="K446" s="1" t="str">
        <f t="shared" ca="1" si="139"/>
        <v>Chennai</v>
      </c>
      <c r="L446" s="1" t="str">
        <f t="shared" ca="1" si="140"/>
        <v>Office Supplies</v>
      </c>
      <c r="M446" s="1" t="str">
        <f t="shared" ca="1" si="141"/>
        <v>Laptop</v>
      </c>
      <c r="N446" s="1" t="str">
        <f t="shared" ca="1" si="142"/>
        <v>Office Table</v>
      </c>
      <c r="O446" s="1">
        <f t="shared" ca="1" si="143"/>
        <v>22337</v>
      </c>
      <c r="P446" s="1">
        <f t="shared" ca="1" si="144"/>
        <v>9</v>
      </c>
      <c r="Q446" s="19">
        <f t="shared" ca="1" si="145"/>
        <v>0.3</v>
      </c>
      <c r="R446" s="1">
        <f t="shared" ca="1" si="146"/>
        <v>-2680.44</v>
      </c>
      <c r="S446" s="1">
        <f t="shared" ca="1" si="130"/>
        <v>5</v>
      </c>
      <c r="T446" s="19">
        <f t="shared" ca="1" si="131"/>
        <v>-0.12</v>
      </c>
      <c r="U446" s="1" t="str">
        <f t="shared" ca="1" si="132"/>
        <v>High Discount</v>
      </c>
    </row>
    <row r="447" spans="1:21" ht="15.6" customHeight="1" x14ac:dyDescent="0.3">
      <c r="A447" s="1" t="str">
        <f t="shared" si="127"/>
        <v>ORD-446</v>
      </c>
      <c r="B447" s="10">
        <f t="shared" ca="1" si="128"/>
        <v>45425</v>
      </c>
      <c r="C447" s="7">
        <f t="shared" ca="1" si="129"/>
        <v>45428</v>
      </c>
      <c r="D447" s="1" t="str">
        <f t="shared" ca="1" si="147"/>
        <v>Second Class</v>
      </c>
      <c r="E447" s="1" t="str">
        <f t="shared" ca="1" si="133"/>
        <v>CU-302</v>
      </c>
      <c r="F447" s="1" t="str">
        <f t="shared" ca="1" si="134"/>
        <v>Pooja Yadav</v>
      </c>
      <c r="G447" s="1" t="str">
        <f t="shared" ca="1" si="135"/>
        <v>Home Office</v>
      </c>
      <c r="H447" s="1" t="str">
        <f t="shared" si="136"/>
        <v>India</v>
      </c>
      <c r="I447" s="1" t="str">
        <f t="shared" ca="1" si="137"/>
        <v>South</v>
      </c>
      <c r="J447" s="1" t="str">
        <f t="shared" ca="1" si="138"/>
        <v>Karnataka</v>
      </c>
      <c r="K447" s="1" t="str">
        <f t="shared" ca="1" si="139"/>
        <v>Kolkata</v>
      </c>
      <c r="L447" s="1" t="str">
        <f t="shared" ca="1" si="140"/>
        <v>Technology</v>
      </c>
      <c r="M447" s="1" t="str">
        <f t="shared" ca="1" si="141"/>
        <v>Chair</v>
      </c>
      <c r="N447" s="1" t="str">
        <f t="shared" ca="1" si="142"/>
        <v>Office Chair</v>
      </c>
      <c r="O447" s="1">
        <f t="shared" ca="1" si="143"/>
        <v>11044</v>
      </c>
      <c r="P447" s="1">
        <f t="shared" ca="1" si="144"/>
        <v>5</v>
      </c>
      <c r="Q447" s="19">
        <f t="shared" ca="1" si="145"/>
        <v>0.2</v>
      </c>
      <c r="R447" s="1">
        <f t="shared" ca="1" si="146"/>
        <v>-220.88000000000019</v>
      </c>
      <c r="S447" s="1">
        <f t="shared" ca="1" si="130"/>
        <v>3</v>
      </c>
      <c r="T447" s="19">
        <f t="shared" ca="1" si="131"/>
        <v>-2.0000000000000018E-2</v>
      </c>
      <c r="U447" s="1" t="str">
        <f t="shared" ca="1" si="132"/>
        <v>High Discount</v>
      </c>
    </row>
    <row r="448" spans="1:21" ht="15.6" customHeight="1" x14ac:dyDescent="0.3">
      <c r="A448" s="1" t="str">
        <f t="shared" si="127"/>
        <v>ORD-447</v>
      </c>
      <c r="B448" s="10">
        <f t="shared" ca="1" si="128"/>
        <v>45535</v>
      </c>
      <c r="C448" s="7">
        <f t="shared" ca="1" si="129"/>
        <v>45536</v>
      </c>
      <c r="D448" s="1" t="str">
        <f t="shared" ca="1" si="147"/>
        <v>Standard Class</v>
      </c>
      <c r="E448" s="1" t="str">
        <f t="shared" ca="1" si="133"/>
        <v>CU-681</v>
      </c>
      <c r="F448" s="1" t="str">
        <f t="shared" ca="1" si="134"/>
        <v>Arjun Malhotra</v>
      </c>
      <c r="G448" s="1" t="str">
        <f t="shared" ca="1" si="135"/>
        <v>Consumer</v>
      </c>
      <c r="H448" s="1" t="str">
        <f t="shared" si="136"/>
        <v>India</v>
      </c>
      <c r="I448" s="1" t="str">
        <f t="shared" ca="1" si="137"/>
        <v>North</v>
      </c>
      <c r="J448" s="1" t="str">
        <f t="shared" ca="1" si="138"/>
        <v>Delhi</v>
      </c>
      <c r="K448" s="1" t="str">
        <f t="shared" ca="1" si="139"/>
        <v>Bangalore</v>
      </c>
      <c r="L448" s="1" t="str">
        <f t="shared" ca="1" si="140"/>
        <v>Technology</v>
      </c>
      <c r="M448" s="1" t="str">
        <f t="shared" ca="1" si="141"/>
        <v>Mobile</v>
      </c>
      <c r="N448" s="1" t="str">
        <f t="shared" ca="1" si="142"/>
        <v>Samsung Galaxy</v>
      </c>
      <c r="O448" s="1">
        <f t="shared" ca="1" si="143"/>
        <v>40018</v>
      </c>
      <c r="P448" s="1">
        <f t="shared" ca="1" si="144"/>
        <v>5</v>
      </c>
      <c r="Q448" s="19">
        <f t="shared" ca="1" si="145"/>
        <v>0</v>
      </c>
      <c r="R448" s="1">
        <f t="shared" ca="1" si="146"/>
        <v>7203.24</v>
      </c>
      <c r="S448" s="1">
        <f t="shared" ca="1" si="130"/>
        <v>1</v>
      </c>
      <c r="T448" s="19">
        <f t="shared" ca="1" si="131"/>
        <v>0.18</v>
      </c>
      <c r="U448" s="1" t="str">
        <f t="shared" ca="1" si="132"/>
        <v>Low Discount</v>
      </c>
    </row>
    <row r="449" spans="1:21" ht="15.6" customHeight="1" x14ac:dyDescent="0.3">
      <c r="A449" s="1" t="str">
        <f t="shared" si="127"/>
        <v>ORD-448</v>
      </c>
      <c r="B449" s="10">
        <f t="shared" ca="1" si="128"/>
        <v>45293</v>
      </c>
      <c r="C449" s="7">
        <f t="shared" ca="1" si="129"/>
        <v>45296</v>
      </c>
      <c r="D449" s="1" t="str">
        <f t="shared" ca="1" si="147"/>
        <v>Standard Class</v>
      </c>
      <c r="E449" s="1" t="str">
        <f t="shared" ca="1" si="133"/>
        <v>CU-432</v>
      </c>
      <c r="F449" s="1" t="str">
        <f t="shared" ca="1" si="134"/>
        <v>Rahul Sharma</v>
      </c>
      <c r="G449" s="1" t="str">
        <f t="shared" ca="1" si="135"/>
        <v>Home Office</v>
      </c>
      <c r="H449" s="1" t="str">
        <f t="shared" si="136"/>
        <v>India</v>
      </c>
      <c r="I449" s="1" t="str">
        <f t="shared" ca="1" si="137"/>
        <v>West</v>
      </c>
      <c r="J449" s="1" t="str">
        <f t="shared" ca="1" si="138"/>
        <v>Karnataka</v>
      </c>
      <c r="K449" s="1" t="str">
        <f t="shared" ca="1" si="139"/>
        <v>Mumbai</v>
      </c>
      <c r="L449" s="1" t="str">
        <f t="shared" ca="1" si="140"/>
        <v>Furniture</v>
      </c>
      <c r="M449" s="1" t="str">
        <f t="shared" ca="1" si="141"/>
        <v>Laptop</v>
      </c>
      <c r="N449" s="1" t="str">
        <f t="shared" ca="1" si="142"/>
        <v>A4 Paper</v>
      </c>
      <c r="O449" s="1">
        <f t="shared" ca="1" si="143"/>
        <v>35956</v>
      </c>
      <c r="P449" s="1">
        <f t="shared" ca="1" si="144"/>
        <v>5</v>
      </c>
      <c r="Q449" s="19">
        <f t="shared" ca="1" si="145"/>
        <v>0</v>
      </c>
      <c r="R449" s="1">
        <f t="shared" ca="1" si="146"/>
        <v>6472.08</v>
      </c>
      <c r="S449" s="1">
        <f t="shared" ca="1" si="130"/>
        <v>3</v>
      </c>
      <c r="T449" s="19">
        <f t="shared" ca="1" si="131"/>
        <v>0.18</v>
      </c>
      <c r="U449" s="1" t="str">
        <f t="shared" ca="1" si="132"/>
        <v>Low Discount</v>
      </c>
    </row>
    <row r="450" spans="1:21" ht="15.6" customHeight="1" x14ac:dyDescent="0.3">
      <c r="A450" s="1" t="str">
        <f t="shared" ref="A450:A501" si="148">"ORD-"&amp;(ROW()-1)</f>
        <v>ORD-449</v>
      </c>
      <c r="B450" s="10">
        <f t="shared" ref="B450:B500" ca="1" si="149">DATE(2024,1,1)+RANDBETWEEN(1,365)</f>
        <v>45575</v>
      </c>
      <c r="C450" s="7">
        <f t="shared" ref="C450:C500" ca="1" si="150">B450+RANDBETWEEN(0,5)</f>
        <v>45579</v>
      </c>
      <c r="D450" s="1" t="str">
        <f t="shared" ca="1" si="147"/>
        <v>Same Day</v>
      </c>
      <c r="E450" s="1" t="str">
        <f t="shared" ca="1" si="133"/>
        <v>CU-700</v>
      </c>
      <c r="F450" s="1" t="str">
        <f t="shared" ca="1" si="134"/>
        <v>Neha Gupta</v>
      </c>
      <c r="G450" s="1" t="str">
        <f t="shared" ca="1" si="135"/>
        <v>Consumer</v>
      </c>
      <c r="H450" s="1" t="str">
        <f t="shared" si="136"/>
        <v>India</v>
      </c>
      <c r="I450" s="1" t="str">
        <f t="shared" ca="1" si="137"/>
        <v>East</v>
      </c>
      <c r="J450" s="1" t="str">
        <f t="shared" ca="1" si="138"/>
        <v>Maharashtra</v>
      </c>
      <c r="K450" s="1" t="str">
        <f t="shared" ca="1" si="139"/>
        <v>Kolkata</v>
      </c>
      <c r="L450" s="1" t="str">
        <f t="shared" ca="1" si="140"/>
        <v>Technology</v>
      </c>
      <c r="M450" s="1" t="str">
        <f t="shared" ca="1" si="141"/>
        <v>Laptop</v>
      </c>
      <c r="N450" s="1" t="str">
        <f t="shared" ca="1" si="142"/>
        <v>Office Table</v>
      </c>
      <c r="O450" s="1">
        <f t="shared" ca="1" si="143"/>
        <v>11424</v>
      </c>
      <c r="P450" s="1">
        <f t="shared" ca="1" si="144"/>
        <v>8</v>
      </c>
      <c r="Q450" s="19">
        <f t="shared" ca="1" si="145"/>
        <v>0.05</v>
      </c>
      <c r="R450" s="1">
        <f t="shared" ca="1" si="146"/>
        <v>1485.1200000000001</v>
      </c>
      <c r="S450" s="1">
        <f t="shared" ref="S450:S501" ca="1" si="151">C450-B450</f>
        <v>4</v>
      </c>
      <c r="T450" s="19">
        <f t="shared" ref="T450:T501" ca="1" si="152">R450/O450</f>
        <v>0.13</v>
      </c>
      <c r="U450" s="1" t="str">
        <f t="shared" ref="U450:U501" ca="1" si="153">IF(Q450&gt;=0.2,"High Discount","Low Discount")</f>
        <v>Low Discount</v>
      </c>
    </row>
    <row r="451" spans="1:21" ht="15.6" customHeight="1" x14ac:dyDescent="0.3">
      <c r="A451" s="1" t="str">
        <f t="shared" si="148"/>
        <v>ORD-450</v>
      </c>
      <c r="B451" s="10">
        <f t="shared" ca="1" si="149"/>
        <v>45639</v>
      </c>
      <c r="C451" s="7">
        <f t="shared" ca="1" si="150"/>
        <v>45642</v>
      </c>
      <c r="D451" s="1" t="str">
        <f t="shared" ca="1" si="147"/>
        <v>Standard Class</v>
      </c>
      <c r="E451" s="1" t="str">
        <f t="shared" ref="E451:E500" ca="1" si="154">"CU-"&amp;RANDBETWEEN(100,999)</f>
        <v>CU-673</v>
      </c>
      <c r="F451" s="1" t="str">
        <f t="shared" ref="F451:F500" ca="1" si="155">CHOOSE(RANDBETWEEN(1,8),"Rahul Sharma","Amit Verma","Priya Singh","Sunil Kumar","Neha Gupta","Ravi Mehta","Pooja Yadav","Arjun Malhotra")</f>
        <v>Pooja Yadav</v>
      </c>
      <c r="G451" s="1" t="str">
        <f t="shared" ref="G451:G500" ca="1" si="156">CHOOSE(RANDBETWEEN(1,3),"Consumer","Corporate","Home Office")</f>
        <v>Consumer</v>
      </c>
      <c r="H451" s="1" t="str">
        <f t="shared" ref="H451:H500" si="157">"India"</f>
        <v>India</v>
      </c>
      <c r="I451" s="1" t="str">
        <f t="shared" ref="I451:I500" ca="1" si="158">CHOOSE(RANDBETWEEN(1,4),"North","South","East","West")</f>
        <v>East</v>
      </c>
      <c r="J451" s="1" t="str">
        <f t="shared" ref="J451:J500" ca="1" si="159">CHOOSE(RANDBETWEEN(1,6),"Delhi","Maharashtra","Karnataka","West Bengal","Gujarat","Tamil Nadu")</f>
        <v>Karnataka</v>
      </c>
      <c r="K451" s="1" t="str">
        <f t="shared" ref="K451:K500" ca="1" si="160">CHOOSE(RANDBETWEEN(1,6),"Delhi","Mumbai","Bangalore","Kolkata","Ahmedabad","Chennai")</f>
        <v>Bangalore</v>
      </c>
      <c r="L451" s="1" t="str">
        <f t="shared" ref="L451:L500" ca="1" si="161">CHOOSE(RANDBETWEEN(1,3),"Technology","Furniture","Office Supplies")</f>
        <v>Furniture</v>
      </c>
      <c r="M451" s="1" t="str">
        <f t="shared" ref="M451:M500" ca="1" si="162">CHOOSE(RANDBETWEEN(1,5),"Mobile","Laptop","Chair","Table","Paper")</f>
        <v>Mobile</v>
      </c>
      <c r="N451" s="1" t="str">
        <f t="shared" ref="N451:N500" ca="1" si="163">CHOOSE(RANDBETWEEN(1,6),"Samsung Galaxy","HP Pavilion","Office Chair","Office Table","A4 Paper","Wireless Mouse")</f>
        <v>A4 Paper</v>
      </c>
      <c r="O451" s="1">
        <f t="shared" ref="O451:O499" ca="1" si="164">RANDBETWEEN(500,60000)</f>
        <v>59976</v>
      </c>
      <c r="P451" s="1">
        <f t="shared" ref="P451:P500" ca="1" si="165">RANDBETWEEN(1,10)</f>
        <v>2</v>
      </c>
      <c r="Q451" s="19">
        <f t="shared" ref="Q451:Q500" ca="1" si="166">CHOOSE(RANDBETWEEN(1,5),0,0.05,0.1,0.2,0.3)</f>
        <v>0.05</v>
      </c>
      <c r="R451" s="1">
        <f t="shared" ref="R451:R500" ca="1" si="167">O451*(0.18-Q451)</f>
        <v>7796.88</v>
      </c>
      <c r="S451" s="1">
        <f t="shared" ca="1" si="151"/>
        <v>3</v>
      </c>
      <c r="T451" s="19">
        <f t="shared" ca="1" si="152"/>
        <v>0.13</v>
      </c>
      <c r="U451" s="1" t="str">
        <f t="shared" ca="1" si="153"/>
        <v>Low Discount</v>
      </c>
    </row>
    <row r="452" spans="1:21" ht="15.6" customHeight="1" x14ac:dyDescent="0.3">
      <c r="A452" s="1" t="str">
        <f t="shared" si="148"/>
        <v>ORD-451</v>
      </c>
      <c r="B452" s="10">
        <f t="shared" ca="1" si="149"/>
        <v>45329</v>
      </c>
      <c r="C452" s="7">
        <f t="shared" ca="1" si="150"/>
        <v>45331</v>
      </c>
      <c r="D452" s="1" t="str">
        <f t="shared" ca="1" si="147"/>
        <v>Standard Class</v>
      </c>
      <c r="E452" s="1" t="str">
        <f t="shared" ca="1" si="154"/>
        <v>CU-353</v>
      </c>
      <c r="F452" s="1" t="str">
        <f t="shared" ca="1" si="155"/>
        <v>Priya Singh</v>
      </c>
      <c r="G452" s="1" t="str">
        <f t="shared" ca="1" si="156"/>
        <v>Home Office</v>
      </c>
      <c r="H452" s="1" t="str">
        <f t="shared" si="157"/>
        <v>India</v>
      </c>
      <c r="I452" s="1" t="str">
        <f t="shared" ca="1" si="158"/>
        <v>East</v>
      </c>
      <c r="J452" s="1" t="str">
        <f t="shared" ca="1" si="159"/>
        <v>Karnataka</v>
      </c>
      <c r="K452" s="1" t="str">
        <f t="shared" ca="1" si="160"/>
        <v>Mumbai</v>
      </c>
      <c r="L452" s="1" t="str">
        <f t="shared" ca="1" si="161"/>
        <v>Technology</v>
      </c>
      <c r="M452" s="1" t="str">
        <f t="shared" ca="1" si="162"/>
        <v>Laptop</v>
      </c>
      <c r="N452" s="1" t="str">
        <f t="shared" ca="1" si="163"/>
        <v>A4 Paper</v>
      </c>
      <c r="O452" s="1">
        <f t="shared" ca="1" si="164"/>
        <v>36955</v>
      </c>
      <c r="P452" s="1">
        <f t="shared" ca="1" si="165"/>
        <v>10</v>
      </c>
      <c r="Q452" s="19">
        <f t="shared" ca="1" si="166"/>
        <v>0.1</v>
      </c>
      <c r="R452" s="1">
        <f t="shared" ca="1" si="167"/>
        <v>2956.3999999999996</v>
      </c>
      <c r="S452" s="1">
        <f t="shared" ca="1" si="151"/>
        <v>2</v>
      </c>
      <c r="T452" s="19">
        <f t="shared" ca="1" si="152"/>
        <v>7.9999999999999988E-2</v>
      </c>
      <c r="U452" s="1" t="str">
        <f t="shared" ca="1" si="153"/>
        <v>Low Discount</v>
      </c>
    </row>
    <row r="453" spans="1:21" ht="15.6" customHeight="1" x14ac:dyDescent="0.3">
      <c r="A453" s="1" t="str">
        <f t="shared" si="148"/>
        <v>ORD-452</v>
      </c>
      <c r="B453" s="10">
        <f t="shared" ca="1" si="149"/>
        <v>45529</v>
      </c>
      <c r="C453" s="7">
        <f t="shared" ca="1" si="150"/>
        <v>45530</v>
      </c>
      <c r="D453" s="1" t="str">
        <f t="shared" ca="1" si="147"/>
        <v>Standard Class</v>
      </c>
      <c r="E453" s="1" t="str">
        <f t="shared" ca="1" si="154"/>
        <v>CU-919</v>
      </c>
      <c r="F453" s="1" t="str">
        <f t="shared" ca="1" si="155"/>
        <v>Priya Singh</v>
      </c>
      <c r="G453" s="1" t="str">
        <f t="shared" ca="1" si="156"/>
        <v>Corporate</v>
      </c>
      <c r="H453" s="1" t="str">
        <f t="shared" si="157"/>
        <v>India</v>
      </c>
      <c r="I453" s="1" t="str">
        <f t="shared" ca="1" si="158"/>
        <v>North</v>
      </c>
      <c r="J453" s="1" t="str">
        <f t="shared" ca="1" si="159"/>
        <v>Tamil Nadu</v>
      </c>
      <c r="K453" s="1" t="str">
        <f t="shared" ca="1" si="160"/>
        <v>Mumbai</v>
      </c>
      <c r="L453" s="1" t="str">
        <f t="shared" ca="1" si="161"/>
        <v>Office Supplies</v>
      </c>
      <c r="M453" s="1" t="str">
        <f t="shared" ca="1" si="162"/>
        <v>Chair</v>
      </c>
      <c r="N453" s="1" t="str">
        <f t="shared" ca="1" si="163"/>
        <v>A4 Paper</v>
      </c>
      <c r="O453" s="1">
        <f t="shared" ca="1" si="164"/>
        <v>48557</v>
      </c>
      <c r="P453" s="1">
        <f t="shared" ca="1" si="165"/>
        <v>1</v>
      </c>
      <c r="Q453" s="19">
        <f t="shared" ca="1" si="166"/>
        <v>0.1</v>
      </c>
      <c r="R453" s="1">
        <f t="shared" ca="1" si="167"/>
        <v>3884.5599999999995</v>
      </c>
      <c r="S453" s="1">
        <f t="shared" ca="1" si="151"/>
        <v>1</v>
      </c>
      <c r="T453" s="19">
        <f t="shared" ca="1" si="152"/>
        <v>7.9999999999999988E-2</v>
      </c>
      <c r="U453" s="1" t="str">
        <f t="shared" ca="1" si="153"/>
        <v>Low Discount</v>
      </c>
    </row>
    <row r="454" spans="1:21" ht="15.6" customHeight="1" x14ac:dyDescent="0.3">
      <c r="A454" s="1" t="str">
        <f t="shared" si="148"/>
        <v>ORD-453</v>
      </c>
      <c r="B454" s="10">
        <f t="shared" ca="1" si="149"/>
        <v>45648</v>
      </c>
      <c r="C454" s="7">
        <f t="shared" ca="1" si="150"/>
        <v>45650</v>
      </c>
      <c r="D454" s="1" t="str">
        <f t="shared" ca="1" si="147"/>
        <v>Standard Class</v>
      </c>
      <c r="E454" s="1" t="str">
        <f t="shared" ca="1" si="154"/>
        <v>CU-226</v>
      </c>
      <c r="F454" s="1" t="str">
        <f t="shared" ca="1" si="155"/>
        <v>Amit Verma</v>
      </c>
      <c r="G454" s="1" t="str">
        <f t="shared" ca="1" si="156"/>
        <v>Corporate</v>
      </c>
      <c r="H454" s="1" t="str">
        <f t="shared" si="157"/>
        <v>India</v>
      </c>
      <c r="I454" s="1" t="str">
        <f t="shared" ca="1" si="158"/>
        <v>West</v>
      </c>
      <c r="J454" s="1" t="str">
        <f t="shared" ca="1" si="159"/>
        <v>Karnataka</v>
      </c>
      <c r="K454" s="1" t="str">
        <f t="shared" ca="1" si="160"/>
        <v>Bangalore</v>
      </c>
      <c r="L454" s="1" t="str">
        <f t="shared" ca="1" si="161"/>
        <v>Technology</v>
      </c>
      <c r="M454" s="1" t="str">
        <f t="shared" ca="1" si="162"/>
        <v>Laptop</v>
      </c>
      <c r="N454" s="1" t="str">
        <f t="shared" ca="1" si="163"/>
        <v>Office Table</v>
      </c>
      <c r="O454" s="1">
        <f t="shared" ca="1" si="164"/>
        <v>59864</v>
      </c>
      <c r="P454" s="1">
        <f t="shared" ca="1" si="165"/>
        <v>3</v>
      </c>
      <c r="Q454" s="19">
        <f t="shared" ca="1" si="166"/>
        <v>0.2</v>
      </c>
      <c r="R454" s="1">
        <f t="shared" ca="1" si="167"/>
        <v>-1197.2800000000011</v>
      </c>
      <c r="S454" s="1">
        <f t="shared" ca="1" si="151"/>
        <v>2</v>
      </c>
      <c r="T454" s="19">
        <f t="shared" ca="1" si="152"/>
        <v>-2.0000000000000018E-2</v>
      </c>
      <c r="U454" s="1" t="str">
        <f t="shared" ca="1" si="153"/>
        <v>High Discount</v>
      </c>
    </row>
    <row r="455" spans="1:21" ht="15.6" customHeight="1" x14ac:dyDescent="0.3">
      <c r="A455" s="1" t="str">
        <f t="shared" si="148"/>
        <v>ORD-454</v>
      </c>
      <c r="B455" s="10">
        <f t="shared" ca="1" si="149"/>
        <v>45329</v>
      </c>
      <c r="C455" s="7">
        <f t="shared" ca="1" si="150"/>
        <v>45334</v>
      </c>
      <c r="D455" s="1" t="str">
        <f t="shared" ca="1" si="147"/>
        <v>Second Class</v>
      </c>
      <c r="E455" s="1" t="str">
        <f t="shared" ca="1" si="154"/>
        <v>CU-616</v>
      </c>
      <c r="F455" s="1" t="str">
        <f t="shared" ca="1" si="155"/>
        <v>Rahul Sharma</v>
      </c>
      <c r="G455" s="1" t="str">
        <f t="shared" ca="1" si="156"/>
        <v>Home Office</v>
      </c>
      <c r="H455" s="1" t="str">
        <f t="shared" si="157"/>
        <v>India</v>
      </c>
      <c r="I455" s="1" t="str">
        <f t="shared" ca="1" si="158"/>
        <v>East</v>
      </c>
      <c r="J455" s="1" t="str">
        <f t="shared" ca="1" si="159"/>
        <v>West Bengal</v>
      </c>
      <c r="K455" s="1" t="str">
        <f t="shared" ca="1" si="160"/>
        <v>Delhi</v>
      </c>
      <c r="L455" s="1" t="str">
        <f t="shared" ca="1" si="161"/>
        <v>Office Supplies</v>
      </c>
      <c r="M455" s="1" t="str">
        <f t="shared" ca="1" si="162"/>
        <v>Paper</v>
      </c>
      <c r="N455" s="1" t="str">
        <f t="shared" ca="1" si="163"/>
        <v>Office Table</v>
      </c>
      <c r="O455" s="1">
        <f t="shared" ca="1" si="164"/>
        <v>12413</v>
      </c>
      <c r="P455" s="1">
        <f t="shared" ca="1" si="165"/>
        <v>8</v>
      </c>
      <c r="Q455" s="19">
        <f t="shared" ca="1" si="166"/>
        <v>0</v>
      </c>
      <c r="R455" s="1">
        <f t="shared" ca="1" si="167"/>
        <v>2234.3399999999997</v>
      </c>
      <c r="S455" s="1">
        <f t="shared" ca="1" si="151"/>
        <v>5</v>
      </c>
      <c r="T455" s="19">
        <f t="shared" ca="1" si="152"/>
        <v>0.17999999999999997</v>
      </c>
      <c r="U455" s="1" t="str">
        <f t="shared" ca="1" si="153"/>
        <v>Low Discount</v>
      </c>
    </row>
    <row r="456" spans="1:21" ht="15.6" customHeight="1" x14ac:dyDescent="0.3">
      <c r="A456" s="1" t="str">
        <f t="shared" si="148"/>
        <v>ORD-455</v>
      </c>
      <c r="B456" s="10">
        <f t="shared" ca="1" si="149"/>
        <v>45625</v>
      </c>
      <c r="C456" s="7">
        <f t="shared" ca="1" si="150"/>
        <v>45627</v>
      </c>
      <c r="D456" s="1" t="str">
        <f t="shared" ca="1" si="147"/>
        <v>Standard Class</v>
      </c>
      <c r="E456" s="1" t="str">
        <f t="shared" ca="1" si="154"/>
        <v>CU-619</v>
      </c>
      <c r="F456" s="1" t="str">
        <f t="shared" ca="1" si="155"/>
        <v>Ravi Mehta</v>
      </c>
      <c r="G456" s="1" t="str">
        <f t="shared" ca="1" si="156"/>
        <v>Home Office</v>
      </c>
      <c r="H456" s="1" t="str">
        <f t="shared" si="157"/>
        <v>India</v>
      </c>
      <c r="I456" s="1" t="str">
        <f t="shared" ca="1" si="158"/>
        <v>North</v>
      </c>
      <c r="J456" s="1" t="str">
        <f t="shared" ca="1" si="159"/>
        <v>Delhi</v>
      </c>
      <c r="K456" s="1" t="str">
        <f t="shared" ca="1" si="160"/>
        <v>Kolkata</v>
      </c>
      <c r="L456" s="1" t="str">
        <f t="shared" ca="1" si="161"/>
        <v>Office Supplies</v>
      </c>
      <c r="M456" s="1" t="str">
        <f t="shared" ca="1" si="162"/>
        <v>Mobile</v>
      </c>
      <c r="N456" s="1" t="str">
        <f t="shared" ca="1" si="163"/>
        <v>Office Chair</v>
      </c>
      <c r="O456" s="1">
        <f t="shared" ca="1" si="164"/>
        <v>19846</v>
      </c>
      <c r="P456" s="1">
        <f t="shared" ca="1" si="165"/>
        <v>5</v>
      </c>
      <c r="Q456" s="19">
        <f t="shared" ca="1" si="166"/>
        <v>0.05</v>
      </c>
      <c r="R456" s="1">
        <f t="shared" ca="1" si="167"/>
        <v>2579.98</v>
      </c>
      <c r="S456" s="1">
        <f t="shared" ca="1" si="151"/>
        <v>2</v>
      </c>
      <c r="T456" s="19">
        <f t="shared" ca="1" si="152"/>
        <v>0.13</v>
      </c>
      <c r="U456" s="1" t="str">
        <f t="shared" ca="1" si="153"/>
        <v>Low Discount</v>
      </c>
    </row>
    <row r="457" spans="1:21" ht="15.6" customHeight="1" x14ac:dyDescent="0.3">
      <c r="A457" s="1" t="str">
        <f t="shared" si="148"/>
        <v>ORD-456</v>
      </c>
      <c r="B457" s="10">
        <f t="shared" ca="1" si="149"/>
        <v>45308</v>
      </c>
      <c r="C457" s="7">
        <f t="shared" ca="1" si="150"/>
        <v>45309</v>
      </c>
      <c r="D457" s="1" t="str">
        <f t="shared" ref="D457:D500" ca="1" si="168">CHOOSE(RANDBETWEEN(1,3),"Standard Class","Second Class","Same Day")</f>
        <v>Same Day</v>
      </c>
      <c r="E457" s="1" t="str">
        <f t="shared" ca="1" si="154"/>
        <v>CU-570</v>
      </c>
      <c r="F457" s="1" t="str">
        <f t="shared" ca="1" si="155"/>
        <v>Priya Singh</v>
      </c>
      <c r="G457" s="1" t="str">
        <f t="shared" ca="1" si="156"/>
        <v>Consumer</v>
      </c>
      <c r="H457" s="1" t="str">
        <f t="shared" si="157"/>
        <v>India</v>
      </c>
      <c r="I457" s="1" t="str">
        <f t="shared" ca="1" si="158"/>
        <v>South</v>
      </c>
      <c r="J457" s="1" t="str">
        <f t="shared" ca="1" si="159"/>
        <v>West Bengal</v>
      </c>
      <c r="K457" s="1" t="str">
        <f t="shared" ca="1" si="160"/>
        <v>Mumbai</v>
      </c>
      <c r="L457" s="1" t="str">
        <f t="shared" ca="1" si="161"/>
        <v>Furniture</v>
      </c>
      <c r="M457" s="1" t="str">
        <f t="shared" ca="1" si="162"/>
        <v>Mobile</v>
      </c>
      <c r="N457" s="1" t="str">
        <f t="shared" ca="1" si="163"/>
        <v>HP Pavilion</v>
      </c>
      <c r="O457" s="1">
        <f t="shared" ca="1" si="164"/>
        <v>48347</v>
      </c>
      <c r="P457" s="1">
        <f t="shared" ca="1" si="165"/>
        <v>8</v>
      </c>
      <c r="Q457" s="19">
        <f t="shared" ca="1" si="166"/>
        <v>0.3</v>
      </c>
      <c r="R457" s="1">
        <f t="shared" ca="1" si="167"/>
        <v>-5801.6399999999994</v>
      </c>
      <c r="S457" s="1">
        <f t="shared" ca="1" si="151"/>
        <v>1</v>
      </c>
      <c r="T457" s="19">
        <f t="shared" ca="1" si="152"/>
        <v>-0.11999999999999998</v>
      </c>
      <c r="U457" s="1" t="str">
        <f t="shared" ca="1" si="153"/>
        <v>High Discount</v>
      </c>
    </row>
    <row r="458" spans="1:21" ht="15.6" customHeight="1" x14ac:dyDescent="0.3">
      <c r="A458" s="1" t="str">
        <f t="shared" si="148"/>
        <v>ORD-457</v>
      </c>
      <c r="B458" s="10">
        <f t="shared" ca="1" si="149"/>
        <v>45560</v>
      </c>
      <c r="C458" s="7">
        <f t="shared" ca="1" si="150"/>
        <v>45564</v>
      </c>
      <c r="D458" s="1" t="str">
        <f t="shared" ca="1" si="168"/>
        <v>Standard Class</v>
      </c>
      <c r="E458" s="1" t="str">
        <f t="shared" ca="1" si="154"/>
        <v>CU-698</v>
      </c>
      <c r="F458" s="1" t="str">
        <f t="shared" ca="1" si="155"/>
        <v>Amit Verma</v>
      </c>
      <c r="G458" s="1" t="str">
        <f t="shared" ca="1" si="156"/>
        <v>Home Office</v>
      </c>
      <c r="H458" s="1" t="str">
        <f t="shared" si="157"/>
        <v>India</v>
      </c>
      <c r="I458" s="1" t="str">
        <f t="shared" ca="1" si="158"/>
        <v>West</v>
      </c>
      <c r="J458" s="1" t="str">
        <f t="shared" ca="1" si="159"/>
        <v>Karnataka</v>
      </c>
      <c r="K458" s="1" t="str">
        <f t="shared" ca="1" si="160"/>
        <v>Bangalore</v>
      </c>
      <c r="L458" s="1" t="str">
        <f t="shared" ca="1" si="161"/>
        <v>Office Supplies</v>
      </c>
      <c r="M458" s="1" t="str">
        <f t="shared" ca="1" si="162"/>
        <v>Paper</v>
      </c>
      <c r="N458" s="1" t="str">
        <f t="shared" ca="1" si="163"/>
        <v>Office Chair</v>
      </c>
      <c r="O458" s="1">
        <f t="shared" ca="1" si="164"/>
        <v>33429</v>
      </c>
      <c r="P458" s="1">
        <f t="shared" ca="1" si="165"/>
        <v>9</v>
      </c>
      <c r="Q458" s="19">
        <f t="shared" ca="1" si="166"/>
        <v>0.1</v>
      </c>
      <c r="R458" s="1">
        <f t="shared" ca="1" si="167"/>
        <v>2674.3199999999997</v>
      </c>
      <c r="S458" s="1">
        <f t="shared" ca="1" si="151"/>
        <v>4</v>
      </c>
      <c r="T458" s="19">
        <f t="shared" ca="1" si="152"/>
        <v>7.9999999999999988E-2</v>
      </c>
      <c r="U458" s="1" t="str">
        <f t="shared" ca="1" si="153"/>
        <v>Low Discount</v>
      </c>
    </row>
    <row r="459" spans="1:21" ht="15.6" customHeight="1" x14ac:dyDescent="0.3">
      <c r="A459" s="1" t="str">
        <f t="shared" si="148"/>
        <v>ORD-458</v>
      </c>
      <c r="B459" s="10">
        <f t="shared" ca="1" si="149"/>
        <v>45404</v>
      </c>
      <c r="C459" s="7">
        <f t="shared" ca="1" si="150"/>
        <v>45405</v>
      </c>
      <c r="D459" s="1" t="str">
        <f t="shared" ca="1" si="168"/>
        <v>Standard Class</v>
      </c>
      <c r="E459" s="1" t="str">
        <f t="shared" ca="1" si="154"/>
        <v>CU-903</v>
      </c>
      <c r="F459" s="1" t="str">
        <f t="shared" ca="1" si="155"/>
        <v>Sunil Kumar</v>
      </c>
      <c r="G459" s="1" t="str">
        <f t="shared" ca="1" si="156"/>
        <v>Home Office</v>
      </c>
      <c r="H459" s="1" t="str">
        <f t="shared" si="157"/>
        <v>India</v>
      </c>
      <c r="I459" s="1" t="str">
        <f t="shared" ca="1" si="158"/>
        <v>West</v>
      </c>
      <c r="J459" s="1" t="str">
        <f t="shared" ca="1" si="159"/>
        <v>Gujarat</v>
      </c>
      <c r="K459" s="1" t="str">
        <f t="shared" ca="1" si="160"/>
        <v>Ahmedabad</v>
      </c>
      <c r="L459" s="1" t="str">
        <f t="shared" ca="1" si="161"/>
        <v>Office Supplies</v>
      </c>
      <c r="M459" s="1" t="str">
        <f t="shared" ca="1" si="162"/>
        <v>Paper</v>
      </c>
      <c r="N459" s="1" t="str">
        <f t="shared" ca="1" si="163"/>
        <v>Office Table</v>
      </c>
      <c r="O459" s="1">
        <f t="shared" ca="1" si="164"/>
        <v>38393</v>
      </c>
      <c r="P459" s="1">
        <f t="shared" ca="1" si="165"/>
        <v>10</v>
      </c>
      <c r="Q459" s="19">
        <f t="shared" ca="1" si="166"/>
        <v>0</v>
      </c>
      <c r="R459" s="1">
        <f t="shared" ca="1" si="167"/>
        <v>6910.74</v>
      </c>
      <c r="S459" s="1">
        <f t="shared" ca="1" si="151"/>
        <v>1</v>
      </c>
      <c r="T459" s="19">
        <f t="shared" ca="1" si="152"/>
        <v>0.18</v>
      </c>
      <c r="U459" s="1" t="str">
        <f t="shared" ca="1" si="153"/>
        <v>Low Discount</v>
      </c>
    </row>
    <row r="460" spans="1:21" ht="15.6" customHeight="1" x14ac:dyDescent="0.3">
      <c r="A460" s="1" t="str">
        <f t="shared" si="148"/>
        <v>ORD-459</v>
      </c>
      <c r="B460" s="10">
        <f t="shared" ca="1" si="149"/>
        <v>45500</v>
      </c>
      <c r="C460" s="7">
        <f t="shared" ca="1" si="150"/>
        <v>45502</v>
      </c>
      <c r="D460" s="1" t="str">
        <f t="shared" ca="1" si="168"/>
        <v>Same Day</v>
      </c>
      <c r="E460" s="1" t="str">
        <f t="shared" ca="1" si="154"/>
        <v>CU-920</v>
      </c>
      <c r="F460" s="1" t="str">
        <f t="shared" ca="1" si="155"/>
        <v>Amit Verma</v>
      </c>
      <c r="G460" s="1" t="str">
        <f t="shared" ca="1" si="156"/>
        <v>Corporate</v>
      </c>
      <c r="H460" s="1" t="str">
        <f t="shared" si="157"/>
        <v>India</v>
      </c>
      <c r="I460" s="1" t="str">
        <f t="shared" ca="1" si="158"/>
        <v>South</v>
      </c>
      <c r="J460" s="1" t="str">
        <f t="shared" ca="1" si="159"/>
        <v>West Bengal</v>
      </c>
      <c r="K460" s="1" t="str">
        <f t="shared" ca="1" si="160"/>
        <v>Delhi</v>
      </c>
      <c r="L460" s="1" t="str">
        <f t="shared" ca="1" si="161"/>
        <v>Office Supplies</v>
      </c>
      <c r="M460" s="1" t="str">
        <f t="shared" ca="1" si="162"/>
        <v>Paper</v>
      </c>
      <c r="N460" s="1" t="str">
        <f t="shared" ca="1" si="163"/>
        <v>Office Table</v>
      </c>
      <c r="O460" s="1">
        <f t="shared" ca="1" si="164"/>
        <v>4159</v>
      </c>
      <c r="P460" s="1">
        <f t="shared" ca="1" si="165"/>
        <v>6</v>
      </c>
      <c r="Q460" s="19">
        <f t="shared" ca="1" si="166"/>
        <v>0.3</v>
      </c>
      <c r="R460" s="1">
        <f t="shared" ca="1" si="167"/>
        <v>-499.08</v>
      </c>
      <c r="S460" s="1">
        <f t="shared" ca="1" si="151"/>
        <v>2</v>
      </c>
      <c r="T460" s="19">
        <f t="shared" ca="1" si="152"/>
        <v>-0.12</v>
      </c>
      <c r="U460" s="1" t="str">
        <f t="shared" ca="1" si="153"/>
        <v>High Discount</v>
      </c>
    </row>
    <row r="461" spans="1:21" ht="15.6" customHeight="1" x14ac:dyDescent="0.3">
      <c r="A461" s="1" t="str">
        <f t="shared" si="148"/>
        <v>ORD-460</v>
      </c>
      <c r="B461" s="10">
        <f t="shared" ca="1" si="149"/>
        <v>45501</v>
      </c>
      <c r="C461" s="7">
        <f t="shared" ca="1" si="150"/>
        <v>45506</v>
      </c>
      <c r="D461" s="1" t="str">
        <f t="shared" ca="1" si="168"/>
        <v>Standard Class</v>
      </c>
      <c r="E461" s="1" t="str">
        <f t="shared" ca="1" si="154"/>
        <v>CU-982</v>
      </c>
      <c r="F461" s="1" t="str">
        <f t="shared" ca="1" si="155"/>
        <v>Priya Singh</v>
      </c>
      <c r="G461" s="1" t="str">
        <f t="shared" ca="1" si="156"/>
        <v>Consumer</v>
      </c>
      <c r="H461" s="1" t="str">
        <f t="shared" si="157"/>
        <v>India</v>
      </c>
      <c r="I461" s="1" t="str">
        <f t="shared" ca="1" si="158"/>
        <v>East</v>
      </c>
      <c r="J461" s="1" t="str">
        <f t="shared" ca="1" si="159"/>
        <v>Tamil Nadu</v>
      </c>
      <c r="K461" s="1" t="str">
        <f t="shared" ca="1" si="160"/>
        <v>Bangalore</v>
      </c>
      <c r="L461" s="1" t="str">
        <f t="shared" ca="1" si="161"/>
        <v>Office Supplies</v>
      </c>
      <c r="M461" s="1" t="str">
        <f t="shared" ca="1" si="162"/>
        <v>Mobile</v>
      </c>
      <c r="N461" s="1" t="str">
        <f t="shared" ca="1" si="163"/>
        <v>Office Chair</v>
      </c>
      <c r="O461" s="1">
        <f t="shared" ca="1" si="164"/>
        <v>59661</v>
      </c>
      <c r="P461" s="1">
        <f t="shared" ca="1" si="165"/>
        <v>4</v>
      </c>
      <c r="Q461" s="19">
        <f t="shared" ca="1" si="166"/>
        <v>0.1</v>
      </c>
      <c r="R461" s="1">
        <f t="shared" ca="1" si="167"/>
        <v>4772.8799999999992</v>
      </c>
      <c r="S461" s="1">
        <f t="shared" ca="1" si="151"/>
        <v>5</v>
      </c>
      <c r="T461" s="19">
        <f t="shared" ca="1" si="152"/>
        <v>7.9999999999999988E-2</v>
      </c>
      <c r="U461" s="1" t="str">
        <f t="shared" ca="1" si="153"/>
        <v>Low Discount</v>
      </c>
    </row>
    <row r="462" spans="1:21" ht="15.6" customHeight="1" x14ac:dyDescent="0.3">
      <c r="A462" s="1" t="str">
        <f t="shared" si="148"/>
        <v>ORD-461</v>
      </c>
      <c r="B462" s="10">
        <f t="shared" ca="1" si="149"/>
        <v>45582</v>
      </c>
      <c r="C462" s="7">
        <f t="shared" ca="1" si="150"/>
        <v>45587</v>
      </c>
      <c r="D462" s="1" t="str">
        <f t="shared" ca="1" si="168"/>
        <v>Same Day</v>
      </c>
      <c r="E462" s="1" t="str">
        <f t="shared" ca="1" si="154"/>
        <v>CU-503</v>
      </c>
      <c r="F462" s="1" t="str">
        <f t="shared" ca="1" si="155"/>
        <v>Priya Singh</v>
      </c>
      <c r="G462" s="1" t="str">
        <f t="shared" ca="1" si="156"/>
        <v>Consumer</v>
      </c>
      <c r="H462" s="1" t="str">
        <f t="shared" si="157"/>
        <v>India</v>
      </c>
      <c r="I462" s="1" t="str">
        <f t="shared" ca="1" si="158"/>
        <v>East</v>
      </c>
      <c r="J462" s="1" t="str">
        <f t="shared" ca="1" si="159"/>
        <v>Karnataka</v>
      </c>
      <c r="K462" s="1" t="str">
        <f t="shared" ca="1" si="160"/>
        <v>Ahmedabad</v>
      </c>
      <c r="L462" s="1" t="str">
        <f t="shared" ca="1" si="161"/>
        <v>Furniture</v>
      </c>
      <c r="M462" s="1" t="str">
        <f t="shared" ca="1" si="162"/>
        <v>Laptop</v>
      </c>
      <c r="N462" s="1" t="str">
        <f t="shared" ca="1" si="163"/>
        <v>Wireless Mouse</v>
      </c>
      <c r="O462" s="1">
        <f t="shared" ca="1" si="164"/>
        <v>48093</v>
      </c>
      <c r="P462" s="1">
        <f t="shared" ca="1" si="165"/>
        <v>6</v>
      </c>
      <c r="Q462" s="19">
        <f t="shared" ca="1" si="166"/>
        <v>0.1</v>
      </c>
      <c r="R462" s="1">
        <f t="shared" ca="1" si="167"/>
        <v>3847.4399999999996</v>
      </c>
      <c r="S462" s="1">
        <f t="shared" ca="1" si="151"/>
        <v>5</v>
      </c>
      <c r="T462" s="19">
        <f t="shared" ca="1" si="152"/>
        <v>7.9999999999999988E-2</v>
      </c>
      <c r="U462" s="1" t="str">
        <f t="shared" ca="1" si="153"/>
        <v>Low Discount</v>
      </c>
    </row>
    <row r="463" spans="1:21" ht="15.6" customHeight="1" x14ac:dyDescent="0.3">
      <c r="A463" s="1" t="str">
        <f t="shared" si="148"/>
        <v>ORD-462</v>
      </c>
      <c r="B463" s="10">
        <f t="shared" ca="1" si="149"/>
        <v>45618</v>
      </c>
      <c r="C463" s="7">
        <f t="shared" ca="1" si="150"/>
        <v>45622</v>
      </c>
      <c r="D463" s="1" t="str">
        <f t="shared" ca="1" si="168"/>
        <v>Standard Class</v>
      </c>
      <c r="E463" s="1" t="str">
        <f t="shared" ca="1" si="154"/>
        <v>CU-496</v>
      </c>
      <c r="F463" s="1" t="str">
        <f t="shared" ca="1" si="155"/>
        <v>Arjun Malhotra</v>
      </c>
      <c r="G463" s="1" t="str">
        <f t="shared" ca="1" si="156"/>
        <v>Consumer</v>
      </c>
      <c r="H463" s="1" t="str">
        <f t="shared" si="157"/>
        <v>India</v>
      </c>
      <c r="I463" s="1" t="str">
        <f t="shared" ca="1" si="158"/>
        <v>West</v>
      </c>
      <c r="J463" s="1" t="str">
        <f t="shared" ca="1" si="159"/>
        <v>Gujarat</v>
      </c>
      <c r="K463" s="1" t="str">
        <f t="shared" ca="1" si="160"/>
        <v>Ahmedabad</v>
      </c>
      <c r="L463" s="1" t="str">
        <f t="shared" ca="1" si="161"/>
        <v>Office Supplies</v>
      </c>
      <c r="M463" s="1" t="str">
        <f t="shared" ca="1" si="162"/>
        <v>Mobile</v>
      </c>
      <c r="N463" s="1" t="str">
        <f t="shared" ca="1" si="163"/>
        <v>A4 Paper</v>
      </c>
      <c r="O463" s="1">
        <f t="shared" ca="1" si="164"/>
        <v>4827</v>
      </c>
      <c r="P463" s="1">
        <f t="shared" ca="1" si="165"/>
        <v>5</v>
      </c>
      <c r="Q463" s="19">
        <f t="shared" ca="1" si="166"/>
        <v>0.05</v>
      </c>
      <c r="R463" s="1">
        <f t="shared" ca="1" si="167"/>
        <v>627.51</v>
      </c>
      <c r="S463" s="1">
        <f t="shared" ca="1" si="151"/>
        <v>4</v>
      </c>
      <c r="T463" s="19">
        <f t="shared" ca="1" si="152"/>
        <v>0.13</v>
      </c>
      <c r="U463" s="1" t="str">
        <f t="shared" ca="1" si="153"/>
        <v>Low Discount</v>
      </c>
    </row>
    <row r="464" spans="1:21" ht="15.6" customHeight="1" x14ac:dyDescent="0.3">
      <c r="A464" s="1" t="str">
        <f t="shared" si="148"/>
        <v>ORD-463</v>
      </c>
      <c r="B464" s="10">
        <f t="shared" ca="1" si="149"/>
        <v>45379</v>
      </c>
      <c r="C464" s="7">
        <f t="shared" ca="1" si="150"/>
        <v>45382</v>
      </c>
      <c r="D464" s="1" t="str">
        <f t="shared" ca="1" si="168"/>
        <v>Standard Class</v>
      </c>
      <c r="E464" s="1" t="str">
        <f t="shared" ca="1" si="154"/>
        <v>CU-861</v>
      </c>
      <c r="F464" s="1" t="str">
        <f t="shared" ca="1" si="155"/>
        <v>Priya Singh</v>
      </c>
      <c r="G464" s="1" t="str">
        <f t="shared" ca="1" si="156"/>
        <v>Consumer</v>
      </c>
      <c r="H464" s="1" t="str">
        <f t="shared" si="157"/>
        <v>India</v>
      </c>
      <c r="I464" s="1" t="str">
        <f t="shared" ca="1" si="158"/>
        <v>North</v>
      </c>
      <c r="J464" s="1" t="str">
        <f t="shared" ca="1" si="159"/>
        <v>Maharashtra</v>
      </c>
      <c r="K464" s="1" t="str">
        <f t="shared" ca="1" si="160"/>
        <v>Delhi</v>
      </c>
      <c r="L464" s="1" t="str">
        <f t="shared" ca="1" si="161"/>
        <v>Furniture</v>
      </c>
      <c r="M464" s="1" t="str">
        <f t="shared" ca="1" si="162"/>
        <v>Table</v>
      </c>
      <c r="N464" s="1" t="str">
        <f t="shared" ca="1" si="163"/>
        <v>Samsung Galaxy</v>
      </c>
      <c r="O464" s="1">
        <f t="shared" ca="1" si="164"/>
        <v>42621</v>
      </c>
      <c r="P464" s="1">
        <f t="shared" ca="1" si="165"/>
        <v>7</v>
      </c>
      <c r="Q464" s="19">
        <f t="shared" ca="1" si="166"/>
        <v>0.05</v>
      </c>
      <c r="R464" s="1">
        <f t="shared" ca="1" si="167"/>
        <v>5540.7300000000005</v>
      </c>
      <c r="S464" s="1">
        <f t="shared" ca="1" si="151"/>
        <v>3</v>
      </c>
      <c r="T464" s="19">
        <f t="shared" ca="1" si="152"/>
        <v>0.13</v>
      </c>
      <c r="U464" s="1" t="str">
        <f t="shared" ca="1" si="153"/>
        <v>Low Discount</v>
      </c>
    </row>
    <row r="465" spans="1:21" ht="15.6" customHeight="1" x14ac:dyDescent="0.3">
      <c r="A465" s="1" t="str">
        <f t="shared" si="148"/>
        <v>ORD-464</v>
      </c>
      <c r="B465" s="10">
        <f t="shared" ca="1" si="149"/>
        <v>45303</v>
      </c>
      <c r="C465" s="7">
        <f t="shared" ca="1" si="150"/>
        <v>45308</v>
      </c>
      <c r="D465" s="1" t="str">
        <f t="shared" ca="1" si="168"/>
        <v>Second Class</v>
      </c>
      <c r="E465" s="1" t="str">
        <f t="shared" ca="1" si="154"/>
        <v>CU-254</v>
      </c>
      <c r="F465" s="1" t="str">
        <f t="shared" ca="1" si="155"/>
        <v>Amit Verma</v>
      </c>
      <c r="G465" s="1" t="str">
        <f t="shared" ca="1" si="156"/>
        <v>Home Office</v>
      </c>
      <c r="H465" s="1" t="str">
        <f t="shared" si="157"/>
        <v>India</v>
      </c>
      <c r="I465" s="1" t="str">
        <f t="shared" ca="1" si="158"/>
        <v>South</v>
      </c>
      <c r="J465" s="1" t="str">
        <f t="shared" ca="1" si="159"/>
        <v>Tamil Nadu</v>
      </c>
      <c r="K465" s="1" t="str">
        <f t="shared" ca="1" si="160"/>
        <v>Chennai</v>
      </c>
      <c r="L465" s="1" t="str">
        <f t="shared" ca="1" si="161"/>
        <v>Furniture</v>
      </c>
      <c r="M465" s="1" t="str">
        <f t="shared" ca="1" si="162"/>
        <v>Laptop</v>
      </c>
      <c r="N465" s="1" t="str">
        <f t="shared" ca="1" si="163"/>
        <v>Samsung Galaxy</v>
      </c>
      <c r="O465" s="1">
        <f t="shared" ca="1" si="164"/>
        <v>18212</v>
      </c>
      <c r="P465" s="1">
        <f t="shared" ca="1" si="165"/>
        <v>1</v>
      </c>
      <c r="Q465" s="19">
        <f t="shared" ca="1" si="166"/>
        <v>0.05</v>
      </c>
      <c r="R465" s="1">
        <f t="shared" ca="1" si="167"/>
        <v>2367.56</v>
      </c>
      <c r="S465" s="1">
        <f t="shared" ca="1" si="151"/>
        <v>5</v>
      </c>
      <c r="T465" s="19">
        <f t="shared" ca="1" si="152"/>
        <v>0.13</v>
      </c>
      <c r="U465" s="1" t="str">
        <f t="shared" ca="1" si="153"/>
        <v>Low Discount</v>
      </c>
    </row>
    <row r="466" spans="1:21" ht="15.6" customHeight="1" x14ac:dyDescent="0.3">
      <c r="A466" s="1" t="str">
        <f t="shared" si="148"/>
        <v>ORD-465</v>
      </c>
      <c r="B466" s="10">
        <f t="shared" ca="1" si="149"/>
        <v>45444</v>
      </c>
      <c r="C466" s="7">
        <f t="shared" ca="1" si="150"/>
        <v>45445</v>
      </c>
      <c r="D466" s="1" t="str">
        <f t="shared" ca="1" si="168"/>
        <v>Second Class</v>
      </c>
      <c r="E466" s="1" t="str">
        <f t="shared" ca="1" si="154"/>
        <v>CU-434</v>
      </c>
      <c r="F466" s="1" t="str">
        <f t="shared" ca="1" si="155"/>
        <v>Pooja Yadav</v>
      </c>
      <c r="G466" s="1" t="str">
        <f t="shared" ca="1" si="156"/>
        <v>Home Office</v>
      </c>
      <c r="H466" s="1" t="str">
        <f t="shared" si="157"/>
        <v>India</v>
      </c>
      <c r="I466" s="1" t="str">
        <f t="shared" ca="1" si="158"/>
        <v>West</v>
      </c>
      <c r="J466" s="1" t="str">
        <f t="shared" ca="1" si="159"/>
        <v>Delhi</v>
      </c>
      <c r="K466" s="1" t="str">
        <f t="shared" ca="1" si="160"/>
        <v>Mumbai</v>
      </c>
      <c r="L466" s="1" t="str">
        <f t="shared" ca="1" si="161"/>
        <v>Furniture</v>
      </c>
      <c r="M466" s="1" t="str">
        <f t="shared" ca="1" si="162"/>
        <v>Paper</v>
      </c>
      <c r="N466" s="1" t="str">
        <f t="shared" ca="1" si="163"/>
        <v>Samsung Galaxy</v>
      </c>
      <c r="O466" s="1">
        <f t="shared" ca="1" si="164"/>
        <v>7550</v>
      </c>
      <c r="P466" s="1">
        <f t="shared" ca="1" si="165"/>
        <v>9</v>
      </c>
      <c r="Q466" s="19">
        <f t="shared" ca="1" si="166"/>
        <v>0.3</v>
      </c>
      <c r="R466" s="1">
        <f t="shared" ca="1" si="167"/>
        <v>-906</v>
      </c>
      <c r="S466" s="1">
        <f t="shared" ca="1" si="151"/>
        <v>1</v>
      </c>
      <c r="T466" s="19">
        <f t="shared" ca="1" si="152"/>
        <v>-0.12</v>
      </c>
      <c r="U466" s="1" t="str">
        <f t="shared" ca="1" si="153"/>
        <v>High Discount</v>
      </c>
    </row>
    <row r="467" spans="1:21" ht="15.6" customHeight="1" x14ac:dyDescent="0.3">
      <c r="A467" s="1" t="str">
        <f t="shared" si="148"/>
        <v>ORD-466</v>
      </c>
      <c r="B467" s="10">
        <f t="shared" ca="1" si="149"/>
        <v>45590</v>
      </c>
      <c r="C467" s="7">
        <f t="shared" ca="1" si="150"/>
        <v>45590</v>
      </c>
      <c r="D467" s="1" t="str">
        <f t="shared" ca="1" si="168"/>
        <v>Same Day</v>
      </c>
      <c r="E467" s="1" t="str">
        <f t="shared" ca="1" si="154"/>
        <v>CU-610</v>
      </c>
      <c r="F467" s="1" t="str">
        <f t="shared" ca="1" si="155"/>
        <v>Neha Gupta</v>
      </c>
      <c r="G467" s="1" t="str">
        <f t="shared" ca="1" si="156"/>
        <v>Corporate</v>
      </c>
      <c r="H467" s="1" t="str">
        <f t="shared" si="157"/>
        <v>India</v>
      </c>
      <c r="I467" s="1" t="str">
        <f t="shared" ca="1" si="158"/>
        <v>West</v>
      </c>
      <c r="J467" s="1" t="str">
        <f t="shared" ca="1" si="159"/>
        <v>Gujarat</v>
      </c>
      <c r="K467" s="1" t="str">
        <f t="shared" ca="1" si="160"/>
        <v>Ahmedabad</v>
      </c>
      <c r="L467" s="1" t="str">
        <f t="shared" ca="1" si="161"/>
        <v>Furniture</v>
      </c>
      <c r="M467" s="1" t="str">
        <f t="shared" ca="1" si="162"/>
        <v>Table</v>
      </c>
      <c r="N467" s="1" t="str">
        <f t="shared" ca="1" si="163"/>
        <v>Office Chair</v>
      </c>
      <c r="O467" s="1">
        <f t="shared" ca="1" si="164"/>
        <v>21404</v>
      </c>
      <c r="P467" s="1">
        <f t="shared" ca="1" si="165"/>
        <v>1</v>
      </c>
      <c r="Q467" s="19">
        <f t="shared" ca="1" si="166"/>
        <v>0.3</v>
      </c>
      <c r="R467" s="1">
        <f t="shared" ca="1" si="167"/>
        <v>-2568.48</v>
      </c>
      <c r="S467" s="1">
        <f t="shared" ca="1" si="151"/>
        <v>0</v>
      </c>
      <c r="T467" s="19">
        <f t="shared" ca="1" si="152"/>
        <v>-0.12</v>
      </c>
      <c r="U467" s="1" t="str">
        <f t="shared" ca="1" si="153"/>
        <v>High Discount</v>
      </c>
    </row>
    <row r="468" spans="1:21" ht="15.6" customHeight="1" x14ac:dyDescent="0.3">
      <c r="A468" s="1" t="str">
        <f t="shared" si="148"/>
        <v>ORD-467</v>
      </c>
      <c r="B468" s="10">
        <f t="shared" ca="1" si="149"/>
        <v>45328</v>
      </c>
      <c r="C468" s="7">
        <f t="shared" ca="1" si="150"/>
        <v>45333</v>
      </c>
      <c r="D468" s="1" t="str">
        <f t="shared" ca="1" si="168"/>
        <v>Second Class</v>
      </c>
      <c r="E468" s="1" t="str">
        <f t="shared" ca="1" si="154"/>
        <v>CU-569</v>
      </c>
      <c r="F468" s="1" t="str">
        <f t="shared" ca="1" si="155"/>
        <v>Ravi Mehta</v>
      </c>
      <c r="G468" s="1" t="str">
        <f t="shared" ca="1" si="156"/>
        <v>Consumer</v>
      </c>
      <c r="H468" s="1" t="str">
        <f t="shared" si="157"/>
        <v>India</v>
      </c>
      <c r="I468" s="1" t="str">
        <f t="shared" ca="1" si="158"/>
        <v>South</v>
      </c>
      <c r="J468" s="1" t="str">
        <f t="shared" ca="1" si="159"/>
        <v>Karnataka</v>
      </c>
      <c r="K468" s="1" t="str">
        <f t="shared" ca="1" si="160"/>
        <v>Ahmedabad</v>
      </c>
      <c r="L468" s="1" t="str">
        <f t="shared" ca="1" si="161"/>
        <v>Furniture</v>
      </c>
      <c r="M468" s="1" t="str">
        <f t="shared" ca="1" si="162"/>
        <v>Laptop</v>
      </c>
      <c r="N468" s="1" t="str">
        <f t="shared" ca="1" si="163"/>
        <v>Wireless Mouse</v>
      </c>
      <c r="O468" s="1">
        <f t="shared" ca="1" si="164"/>
        <v>6612</v>
      </c>
      <c r="P468" s="1">
        <f t="shared" ca="1" si="165"/>
        <v>4</v>
      </c>
      <c r="Q468" s="19">
        <f t="shared" ca="1" si="166"/>
        <v>0.1</v>
      </c>
      <c r="R468" s="1">
        <f t="shared" ca="1" si="167"/>
        <v>528.95999999999992</v>
      </c>
      <c r="S468" s="1">
        <f t="shared" ca="1" si="151"/>
        <v>5</v>
      </c>
      <c r="T468" s="19">
        <f t="shared" ca="1" si="152"/>
        <v>7.9999999999999988E-2</v>
      </c>
      <c r="U468" s="1" t="str">
        <f t="shared" ca="1" si="153"/>
        <v>Low Discount</v>
      </c>
    </row>
    <row r="469" spans="1:21" ht="15.6" customHeight="1" x14ac:dyDescent="0.3">
      <c r="A469" s="1" t="str">
        <f t="shared" si="148"/>
        <v>ORD-468</v>
      </c>
      <c r="B469" s="10">
        <f t="shared" ca="1" si="149"/>
        <v>45567</v>
      </c>
      <c r="C469" s="7">
        <f t="shared" ca="1" si="150"/>
        <v>45568</v>
      </c>
      <c r="D469" s="1" t="str">
        <f t="shared" ca="1" si="168"/>
        <v>Same Day</v>
      </c>
      <c r="E469" s="1" t="str">
        <f t="shared" ca="1" si="154"/>
        <v>CU-692</v>
      </c>
      <c r="F469" s="1" t="str">
        <f t="shared" ca="1" si="155"/>
        <v>Arjun Malhotra</v>
      </c>
      <c r="G469" s="1" t="str">
        <f t="shared" ca="1" si="156"/>
        <v>Corporate</v>
      </c>
      <c r="H469" s="1" t="str">
        <f t="shared" si="157"/>
        <v>India</v>
      </c>
      <c r="I469" s="1" t="str">
        <f t="shared" ca="1" si="158"/>
        <v>East</v>
      </c>
      <c r="J469" s="1" t="str">
        <f t="shared" ca="1" si="159"/>
        <v>Gujarat</v>
      </c>
      <c r="K469" s="1" t="str">
        <f t="shared" ca="1" si="160"/>
        <v>Delhi</v>
      </c>
      <c r="L469" s="1" t="str">
        <f t="shared" ca="1" si="161"/>
        <v>Furniture</v>
      </c>
      <c r="M469" s="1" t="str">
        <f t="shared" ca="1" si="162"/>
        <v>Paper</v>
      </c>
      <c r="N469" s="1" t="str">
        <f t="shared" ca="1" si="163"/>
        <v>Samsung Galaxy</v>
      </c>
      <c r="O469" s="1">
        <f t="shared" ca="1" si="164"/>
        <v>51376</v>
      </c>
      <c r="P469" s="1">
        <f t="shared" ca="1" si="165"/>
        <v>1</v>
      </c>
      <c r="Q469" s="19">
        <f t="shared" ca="1" si="166"/>
        <v>0.1</v>
      </c>
      <c r="R469" s="1">
        <f t="shared" ca="1" si="167"/>
        <v>4110.079999999999</v>
      </c>
      <c r="S469" s="1">
        <f t="shared" ca="1" si="151"/>
        <v>1</v>
      </c>
      <c r="T469" s="19">
        <f t="shared" ca="1" si="152"/>
        <v>7.9999999999999988E-2</v>
      </c>
      <c r="U469" s="1" t="str">
        <f t="shared" ca="1" si="153"/>
        <v>Low Discount</v>
      </c>
    </row>
    <row r="470" spans="1:21" ht="15.6" customHeight="1" x14ac:dyDescent="0.3">
      <c r="A470" s="1" t="str">
        <f t="shared" si="148"/>
        <v>ORD-469</v>
      </c>
      <c r="B470" s="10">
        <f t="shared" ca="1" si="149"/>
        <v>45399</v>
      </c>
      <c r="C470" s="7">
        <f t="shared" ca="1" si="150"/>
        <v>45400</v>
      </c>
      <c r="D470" s="1" t="str">
        <f t="shared" ca="1" si="168"/>
        <v>Second Class</v>
      </c>
      <c r="E470" s="1" t="str">
        <f t="shared" ca="1" si="154"/>
        <v>CU-628</v>
      </c>
      <c r="F470" s="1" t="str">
        <f t="shared" ca="1" si="155"/>
        <v>Amit Verma</v>
      </c>
      <c r="G470" s="1" t="str">
        <f t="shared" ca="1" si="156"/>
        <v>Home Office</v>
      </c>
      <c r="H470" s="1" t="str">
        <f t="shared" si="157"/>
        <v>India</v>
      </c>
      <c r="I470" s="1" t="str">
        <f t="shared" ca="1" si="158"/>
        <v>South</v>
      </c>
      <c r="J470" s="1" t="str">
        <f t="shared" ca="1" si="159"/>
        <v>West Bengal</v>
      </c>
      <c r="K470" s="1" t="str">
        <f t="shared" ca="1" si="160"/>
        <v>Delhi</v>
      </c>
      <c r="L470" s="1" t="str">
        <f t="shared" ca="1" si="161"/>
        <v>Furniture</v>
      </c>
      <c r="M470" s="1" t="str">
        <f t="shared" ca="1" si="162"/>
        <v>Laptop</v>
      </c>
      <c r="N470" s="1" t="str">
        <f t="shared" ca="1" si="163"/>
        <v>Office Chair</v>
      </c>
      <c r="O470" s="1">
        <f t="shared" ca="1" si="164"/>
        <v>27509</v>
      </c>
      <c r="P470" s="1">
        <f t="shared" ca="1" si="165"/>
        <v>3</v>
      </c>
      <c r="Q470" s="19">
        <f t="shared" ca="1" si="166"/>
        <v>0.3</v>
      </c>
      <c r="R470" s="1">
        <f t="shared" ca="1" si="167"/>
        <v>-3301.08</v>
      </c>
      <c r="S470" s="1">
        <f t="shared" ca="1" si="151"/>
        <v>1</v>
      </c>
      <c r="T470" s="19">
        <f t="shared" ca="1" si="152"/>
        <v>-0.12</v>
      </c>
      <c r="U470" s="1" t="str">
        <f t="shared" ca="1" si="153"/>
        <v>High Discount</v>
      </c>
    </row>
    <row r="471" spans="1:21" ht="15.6" customHeight="1" x14ac:dyDescent="0.3">
      <c r="A471" s="1" t="str">
        <f t="shared" si="148"/>
        <v>ORD-470</v>
      </c>
      <c r="B471" s="10">
        <f t="shared" ca="1" si="149"/>
        <v>45447</v>
      </c>
      <c r="C471" s="7">
        <f t="shared" ca="1" si="150"/>
        <v>45451</v>
      </c>
      <c r="D471" s="1" t="str">
        <f t="shared" ca="1" si="168"/>
        <v>Second Class</v>
      </c>
      <c r="E471" s="1" t="str">
        <f t="shared" ca="1" si="154"/>
        <v>CU-225</v>
      </c>
      <c r="F471" s="1" t="str">
        <f t="shared" ca="1" si="155"/>
        <v>Priya Singh</v>
      </c>
      <c r="G471" s="1" t="str">
        <f t="shared" ca="1" si="156"/>
        <v>Corporate</v>
      </c>
      <c r="H471" s="1" t="str">
        <f t="shared" si="157"/>
        <v>India</v>
      </c>
      <c r="I471" s="1" t="str">
        <f t="shared" ca="1" si="158"/>
        <v>South</v>
      </c>
      <c r="J471" s="1" t="str">
        <f t="shared" ca="1" si="159"/>
        <v>West Bengal</v>
      </c>
      <c r="K471" s="1" t="str">
        <f t="shared" ca="1" si="160"/>
        <v>Ahmedabad</v>
      </c>
      <c r="L471" s="1" t="str">
        <f t="shared" ca="1" si="161"/>
        <v>Furniture</v>
      </c>
      <c r="M471" s="1" t="str">
        <f t="shared" ca="1" si="162"/>
        <v>Paper</v>
      </c>
      <c r="N471" s="1" t="str">
        <f t="shared" ca="1" si="163"/>
        <v>HP Pavilion</v>
      </c>
      <c r="O471" s="1">
        <f t="shared" ca="1" si="164"/>
        <v>1235</v>
      </c>
      <c r="P471" s="1">
        <f t="shared" ca="1" si="165"/>
        <v>3</v>
      </c>
      <c r="Q471" s="19">
        <f t="shared" ca="1" si="166"/>
        <v>0</v>
      </c>
      <c r="R471" s="1">
        <f t="shared" ca="1" si="167"/>
        <v>222.29999999999998</v>
      </c>
      <c r="S471" s="1">
        <f t="shared" ca="1" si="151"/>
        <v>4</v>
      </c>
      <c r="T471" s="19">
        <f t="shared" ca="1" si="152"/>
        <v>0.18</v>
      </c>
      <c r="U471" s="1" t="str">
        <f t="shared" ca="1" si="153"/>
        <v>Low Discount</v>
      </c>
    </row>
    <row r="472" spans="1:21" ht="15.6" customHeight="1" x14ac:dyDescent="0.3">
      <c r="A472" s="1" t="str">
        <f t="shared" si="148"/>
        <v>ORD-471</v>
      </c>
      <c r="B472" s="10">
        <f t="shared" ca="1" si="149"/>
        <v>45583</v>
      </c>
      <c r="C472" s="7">
        <f t="shared" ca="1" si="150"/>
        <v>45585</v>
      </c>
      <c r="D472" s="1" t="str">
        <f t="shared" ca="1" si="168"/>
        <v>Second Class</v>
      </c>
      <c r="E472" s="1" t="str">
        <f t="shared" ca="1" si="154"/>
        <v>CU-846</v>
      </c>
      <c r="F472" s="1" t="str">
        <f t="shared" ca="1" si="155"/>
        <v>Rahul Sharma</v>
      </c>
      <c r="G472" s="1" t="str">
        <f t="shared" ca="1" si="156"/>
        <v>Consumer</v>
      </c>
      <c r="H472" s="1" t="str">
        <f t="shared" si="157"/>
        <v>India</v>
      </c>
      <c r="I472" s="1" t="str">
        <f t="shared" ca="1" si="158"/>
        <v>East</v>
      </c>
      <c r="J472" s="1" t="str">
        <f t="shared" ca="1" si="159"/>
        <v>West Bengal</v>
      </c>
      <c r="K472" s="1" t="str">
        <f t="shared" ca="1" si="160"/>
        <v>Chennai</v>
      </c>
      <c r="L472" s="1" t="str">
        <f t="shared" ca="1" si="161"/>
        <v>Furniture</v>
      </c>
      <c r="M472" s="1" t="str">
        <f t="shared" ca="1" si="162"/>
        <v>Chair</v>
      </c>
      <c r="N472" s="1" t="str">
        <f t="shared" ca="1" si="163"/>
        <v>Office Chair</v>
      </c>
      <c r="O472" s="1">
        <f t="shared" ca="1" si="164"/>
        <v>11421</v>
      </c>
      <c r="P472" s="1">
        <f t="shared" ca="1" si="165"/>
        <v>4</v>
      </c>
      <c r="Q472" s="19">
        <f t="shared" ca="1" si="166"/>
        <v>0.05</v>
      </c>
      <c r="R472" s="1">
        <f t="shared" ca="1" si="167"/>
        <v>1484.73</v>
      </c>
      <c r="S472" s="1">
        <f t="shared" ca="1" si="151"/>
        <v>2</v>
      </c>
      <c r="T472" s="19">
        <f t="shared" ca="1" si="152"/>
        <v>0.13</v>
      </c>
      <c r="U472" s="1" t="str">
        <f t="shared" ca="1" si="153"/>
        <v>Low Discount</v>
      </c>
    </row>
    <row r="473" spans="1:21" ht="15.6" customHeight="1" x14ac:dyDescent="0.3">
      <c r="A473" s="1" t="str">
        <f t="shared" si="148"/>
        <v>ORD-472</v>
      </c>
      <c r="B473" s="10">
        <f t="shared" ca="1" si="149"/>
        <v>45592</v>
      </c>
      <c r="C473" s="7">
        <f t="shared" ca="1" si="150"/>
        <v>45592</v>
      </c>
      <c r="D473" s="1" t="str">
        <f t="shared" ca="1" si="168"/>
        <v>Standard Class</v>
      </c>
      <c r="E473" s="1" t="str">
        <f t="shared" ca="1" si="154"/>
        <v>CU-959</v>
      </c>
      <c r="F473" s="1" t="str">
        <f t="shared" ca="1" si="155"/>
        <v>Pooja Yadav</v>
      </c>
      <c r="G473" s="1" t="str">
        <f t="shared" ca="1" si="156"/>
        <v>Home Office</v>
      </c>
      <c r="H473" s="1" t="str">
        <f t="shared" si="157"/>
        <v>India</v>
      </c>
      <c r="I473" s="1" t="str">
        <f t="shared" ca="1" si="158"/>
        <v>North</v>
      </c>
      <c r="J473" s="1" t="str">
        <f t="shared" ca="1" si="159"/>
        <v>Delhi</v>
      </c>
      <c r="K473" s="1" t="str">
        <f t="shared" ca="1" si="160"/>
        <v>Mumbai</v>
      </c>
      <c r="L473" s="1" t="str">
        <f t="shared" ca="1" si="161"/>
        <v>Office Supplies</v>
      </c>
      <c r="M473" s="1" t="str">
        <f t="shared" ca="1" si="162"/>
        <v>Paper</v>
      </c>
      <c r="N473" s="1" t="str">
        <f t="shared" ca="1" si="163"/>
        <v>HP Pavilion</v>
      </c>
      <c r="O473" s="1">
        <f t="shared" ca="1" si="164"/>
        <v>31019</v>
      </c>
      <c r="P473" s="1">
        <f t="shared" ca="1" si="165"/>
        <v>1</v>
      </c>
      <c r="Q473" s="19">
        <f t="shared" ca="1" si="166"/>
        <v>0</v>
      </c>
      <c r="R473" s="1">
        <f t="shared" ca="1" si="167"/>
        <v>5583.42</v>
      </c>
      <c r="S473" s="1">
        <f t="shared" ca="1" si="151"/>
        <v>0</v>
      </c>
      <c r="T473" s="19">
        <f t="shared" ca="1" si="152"/>
        <v>0.18</v>
      </c>
      <c r="U473" s="1" t="str">
        <f t="shared" ca="1" si="153"/>
        <v>Low Discount</v>
      </c>
    </row>
    <row r="474" spans="1:21" ht="15.6" customHeight="1" x14ac:dyDescent="0.3">
      <c r="A474" s="1" t="str">
        <f t="shared" si="148"/>
        <v>ORD-473</v>
      </c>
      <c r="B474" s="10">
        <f t="shared" ca="1" si="149"/>
        <v>45408</v>
      </c>
      <c r="C474" s="7">
        <f t="shared" ca="1" si="150"/>
        <v>45408</v>
      </c>
      <c r="D474" s="1" t="str">
        <f t="shared" ca="1" si="168"/>
        <v>Second Class</v>
      </c>
      <c r="E474" s="1" t="str">
        <f t="shared" ca="1" si="154"/>
        <v>CU-728</v>
      </c>
      <c r="F474" s="1" t="str">
        <f t="shared" ca="1" si="155"/>
        <v>Priya Singh</v>
      </c>
      <c r="G474" s="1" t="str">
        <f t="shared" ca="1" si="156"/>
        <v>Consumer</v>
      </c>
      <c r="H474" s="1" t="str">
        <f t="shared" si="157"/>
        <v>India</v>
      </c>
      <c r="I474" s="1" t="str">
        <f t="shared" ca="1" si="158"/>
        <v>South</v>
      </c>
      <c r="J474" s="1" t="str">
        <f t="shared" ca="1" si="159"/>
        <v>West Bengal</v>
      </c>
      <c r="K474" s="1" t="str">
        <f t="shared" ca="1" si="160"/>
        <v>Delhi</v>
      </c>
      <c r="L474" s="1" t="str">
        <f t="shared" ca="1" si="161"/>
        <v>Office Supplies</v>
      </c>
      <c r="M474" s="1" t="str">
        <f t="shared" ca="1" si="162"/>
        <v>Laptop</v>
      </c>
      <c r="N474" s="1" t="str">
        <f t="shared" ca="1" si="163"/>
        <v>A4 Paper</v>
      </c>
      <c r="O474" s="1">
        <f t="shared" ca="1" si="164"/>
        <v>2601</v>
      </c>
      <c r="P474" s="1">
        <f t="shared" ca="1" si="165"/>
        <v>8</v>
      </c>
      <c r="Q474" s="19">
        <f t="shared" ca="1" si="166"/>
        <v>0.2</v>
      </c>
      <c r="R474" s="1">
        <f t="shared" ca="1" si="167"/>
        <v>-52.020000000000046</v>
      </c>
      <c r="S474" s="1">
        <f t="shared" ca="1" si="151"/>
        <v>0</v>
      </c>
      <c r="T474" s="19">
        <f t="shared" ca="1" si="152"/>
        <v>-2.0000000000000018E-2</v>
      </c>
      <c r="U474" s="1" t="str">
        <f t="shared" ca="1" si="153"/>
        <v>High Discount</v>
      </c>
    </row>
    <row r="475" spans="1:21" ht="15.6" customHeight="1" x14ac:dyDescent="0.3">
      <c r="A475" s="1" t="str">
        <f t="shared" si="148"/>
        <v>ORD-474</v>
      </c>
      <c r="B475" s="10">
        <f t="shared" ca="1" si="149"/>
        <v>45370</v>
      </c>
      <c r="C475" s="7">
        <f t="shared" ca="1" si="150"/>
        <v>45372</v>
      </c>
      <c r="D475" s="1" t="str">
        <f t="shared" ca="1" si="168"/>
        <v>Standard Class</v>
      </c>
      <c r="E475" s="1" t="str">
        <f t="shared" ca="1" si="154"/>
        <v>CU-218</v>
      </c>
      <c r="F475" s="1" t="str">
        <f t="shared" ca="1" si="155"/>
        <v>Arjun Malhotra</v>
      </c>
      <c r="G475" s="1" t="str">
        <f t="shared" ca="1" si="156"/>
        <v>Corporate</v>
      </c>
      <c r="H475" s="1" t="str">
        <f t="shared" si="157"/>
        <v>India</v>
      </c>
      <c r="I475" s="1" t="str">
        <f t="shared" ca="1" si="158"/>
        <v>North</v>
      </c>
      <c r="J475" s="1" t="str">
        <f t="shared" ca="1" si="159"/>
        <v>Maharashtra</v>
      </c>
      <c r="K475" s="1" t="str">
        <f t="shared" ca="1" si="160"/>
        <v>Kolkata</v>
      </c>
      <c r="L475" s="1" t="str">
        <f t="shared" ca="1" si="161"/>
        <v>Technology</v>
      </c>
      <c r="M475" s="1" t="str">
        <f t="shared" ca="1" si="162"/>
        <v>Table</v>
      </c>
      <c r="N475" s="1" t="str">
        <f t="shared" ca="1" si="163"/>
        <v>Wireless Mouse</v>
      </c>
      <c r="O475" s="1">
        <f t="shared" ca="1" si="164"/>
        <v>40335</v>
      </c>
      <c r="P475" s="1">
        <f t="shared" ca="1" si="165"/>
        <v>4</v>
      </c>
      <c r="Q475" s="19">
        <f t="shared" ca="1" si="166"/>
        <v>0.05</v>
      </c>
      <c r="R475" s="1">
        <f t="shared" ca="1" si="167"/>
        <v>5243.55</v>
      </c>
      <c r="S475" s="1">
        <f t="shared" ca="1" si="151"/>
        <v>2</v>
      </c>
      <c r="T475" s="19">
        <f t="shared" ca="1" si="152"/>
        <v>0.13</v>
      </c>
      <c r="U475" s="1" t="str">
        <f t="shared" ca="1" si="153"/>
        <v>Low Discount</v>
      </c>
    </row>
    <row r="476" spans="1:21" ht="15.6" customHeight="1" x14ac:dyDescent="0.3">
      <c r="A476" s="1" t="str">
        <f t="shared" si="148"/>
        <v>ORD-475</v>
      </c>
      <c r="B476" s="10">
        <f t="shared" ca="1" si="149"/>
        <v>45569</v>
      </c>
      <c r="C476" s="7">
        <f t="shared" ca="1" si="150"/>
        <v>45573</v>
      </c>
      <c r="D476" s="1" t="str">
        <f t="shared" ca="1" si="168"/>
        <v>Second Class</v>
      </c>
      <c r="E476" s="1" t="str">
        <f t="shared" ca="1" si="154"/>
        <v>CU-926</v>
      </c>
      <c r="F476" s="1" t="str">
        <f t="shared" ca="1" si="155"/>
        <v>Arjun Malhotra</v>
      </c>
      <c r="G476" s="1" t="str">
        <f t="shared" ca="1" si="156"/>
        <v>Consumer</v>
      </c>
      <c r="H476" s="1" t="str">
        <f t="shared" si="157"/>
        <v>India</v>
      </c>
      <c r="I476" s="1" t="str">
        <f t="shared" ca="1" si="158"/>
        <v>West</v>
      </c>
      <c r="J476" s="1" t="str">
        <f t="shared" ca="1" si="159"/>
        <v>Gujarat</v>
      </c>
      <c r="K476" s="1" t="str">
        <f t="shared" ca="1" si="160"/>
        <v>Chennai</v>
      </c>
      <c r="L476" s="1" t="str">
        <f t="shared" ca="1" si="161"/>
        <v>Technology</v>
      </c>
      <c r="M476" s="1" t="str">
        <f t="shared" ca="1" si="162"/>
        <v>Paper</v>
      </c>
      <c r="N476" s="1" t="str">
        <f t="shared" ca="1" si="163"/>
        <v>Samsung Galaxy</v>
      </c>
      <c r="O476" s="1">
        <f t="shared" ca="1" si="164"/>
        <v>53271</v>
      </c>
      <c r="P476" s="1">
        <f t="shared" ca="1" si="165"/>
        <v>5</v>
      </c>
      <c r="Q476" s="19">
        <f t="shared" ca="1" si="166"/>
        <v>0.1</v>
      </c>
      <c r="R476" s="1">
        <f t="shared" ca="1" si="167"/>
        <v>4261.6799999999994</v>
      </c>
      <c r="S476" s="1">
        <f t="shared" ca="1" si="151"/>
        <v>4</v>
      </c>
      <c r="T476" s="19">
        <f t="shared" ca="1" si="152"/>
        <v>7.9999999999999988E-2</v>
      </c>
      <c r="U476" s="1" t="str">
        <f t="shared" ca="1" si="153"/>
        <v>Low Discount</v>
      </c>
    </row>
    <row r="477" spans="1:21" ht="15.6" customHeight="1" x14ac:dyDescent="0.3">
      <c r="A477" s="1" t="str">
        <f t="shared" si="148"/>
        <v>ORD-476</v>
      </c>
      <c r="B477" s="10">
        <f t="shared" ca="1" si="149"/>
        <v>45594</v>
      </c>
      <c r="C477" s="7">
        <f t="shared" ca="1" si="150"/>
        <v>45599</v>
      </c>
      <c r="D477" s="1" t="str">
        <f t="shared" ca="1" si="168"/>
        <v>Same Day</v>
      </c>
      <c r="E477" s="1" t="str">
        <f t="shared" ca="1" si="154"/>
        <v>CU-624</v>
      </c>
      <c r="F477" s="1" t="str">
        <f t="shared" ca="1" si="155"/>
        <v>Priya Singh</v>
      </c>
      <c r="G477" s="1" t="str">
        <f t="shared" ca="1" si="156"/>
        <v>Corporate</v>
      </c>
      <c r="H477" s="1" t="str">
        <f t="shared" si="157"/>
        <v>India</v>
      </c>
      <c r="I477" s="1" t="str">
        <f t="shared" ca="1" si="158"/>
        <v>North</v>
      </c>
      <c r="J477" s="1" t="str">
        <f t="shared" ca="1" si="159"/>
        <v>Maharashtra</v>
      </c>
      <c r="K477" s="1" t="str">
        <f t="shared" ca="1" si="160"/>
        <v>Kolkata</v>
      </c>
      <c r="L477" s="1" t="str">
        <f t="shared" ca="1" si="161"/>
        <v>Office Supplies</v>
      </c>
      <c r="M477" s="1" t="str">
        <f t="shared" ca="1" si="162"/>
        <v>Mobile</v>
      </c>
      <c r="N477" s="1" t="str">
        <f t="shared" ca="1" si="163"/>
        <v>Samsung Galaxy</v>
      </c>
      <c r="O477" s="1">
        <f t="shared" ca="1" si="164"/>
        <v>53231</v>
      </c>
      <c r="P477" s="1">
        <f t="shared" ca="1" si="165"/>
        <v>6</v>
      </c>
      <c r="Q477" s="19">
        <f t="shared" ca="1" si="166"/>
        <v>0.3</v>
      </c>
      <c r="R477" s="1">
        <f t="shared" ca="1" si="167"/>
        <v>-6387.7199999999993</v>
      </c>
      <c r="S477" s="1">
        <f t="shared" ca="1" si="151"/>
        <v>5</v>
      </c>
      <c r="T477" s="19">
        <f t="shared" ca="1" si="152"/>
        <v>-0.11999999999999998</v>
      </c>
      <c r="U477" s="1" t="str">
        <f t="shared" ca="1" si="153"/>
        <v>High Discount</v>
      </c>
    </row>
    <row r="478" spans="1:21" ht="15.6" customHeight="1" x14ac:dyDescent="0.3">
      <c r="A478" s="1" t="str">
        <f t="shared" si="148"/>
        <v>ORD-477</v>
      </c>
      <c r="B478" s="10">
        <f t="shared" ca="1" si="149"/>
        <v>45652</v>
      </c>
      <c r="C478" s="7">
        <f t="shared" ca="1" si="150"/>
        <v>45655</v>
      </c>
      <c r="D478" s="1" t="str">
        <f t="shared" ca="1" si="168"/>
        <v>Same Day</v>
      </c>
      <c r="E478" s="1" t="str">
        <f t="shared" ca="1" si="154"/>
        <v>CU-551</v>
      </c>
      <c r="F478" s="1" t="str">
        <f t="shared" ca="1" si="155"/>
        <v>Rahul Sharma</v>
      </c>
      <c r="G478" s="1" t="str">
        <f t="shared" ca="1" si="156"/>
        <v>Home Office</v>
      </c>
      <c r="H478" s="1" t="str">
        <f t="shared" si="157"/>
        <v>India</v>
      </c>
      <c r="I478" s="1" t="str">
        <f t="shared" ca="1" si="158"/>
        <v>West</v>
      </c>
      <c r="J478" s="1" t="str">
        <f t="shared" ca="1" si="159"/>
        <v>Karnataka</v>
      </c>
      <c r="K478" s="1" t="str">
        <f t="shared" ca="1" si="160"/>
        <v>Delhi</v>
      </c>
      <c r="L478" s="1" t="str">
        <f t="shared" ca="1" si="161"/>
        <v>Office Supplies</v>
      </c>
      <c r="M478" s="1" t="str">
        <f t="shared" ca="1" si="162"/>
        <v>Chair</v>
      </c>
      <c r="N478" s="1" t="str">
        <f t="shared" ca="1" si="163"/>
        <v>Office Chair</v>
      </c>
      <c r="O478" s="1">
        <f t="shared" ca="1" si="164"/>
        <v>42765</v>
      </c>
      <c r="P478" s="1">
        <f t="shared" ca="1" si="165"/>
        <v>3</v>
      </c>
      <c r="Q478" s="19">
        <f t="shared" ca="1" si="166"/>
        <v>0.05</v>
      </c>
      <c r="R478" s="1">
        <f t="shared" ca="1" si="167"/>
        <v>5559.45</v>
      </c>
      <c r="S478" s="1">
        <f t="shared" ca="1" si="151"/>
        <v>3</v>
      </c>
      <c r="T478" s="19">
        <f t="shared" ca="1" si="152"/>
        <v>0.13</v>
      </c>
      <c r="U478" s="1" t="str">
        <f t="shared" ca="1" si="153"/>
        <v>Low Discount</v>
      </c>
    </row>
    <row r="479" spans="1:21" ht="15.6" customHeight="1" x14ac:dyDescent="0.3">
      <c r="A479" s="1" t="str">
        <f t="shared" si="148"/>
        <v>ORD-478</v>
      </c>
      <c r="B479" s="10">
        <f t="shared" ca="1" si="149"/>
        <v>45485</v>
      </c>
      <c r="C479" s="7">
        <f t="shared" ca="1" si="150"/>
        <v>45489</v>
      </c>
      <c r="D479" s="1" t="str">
        <f t="shared" ca="1" si="168"/>
        <v>Standard Class</v>
      </c>
      <c r="E479" s="1" t="str">
        <f t="shared" ca="1" si="154"/>
        <v>CU-338</v>
      </c>
      <c r="F479" s="1" t="str">
        <f t="shared" ca="1" si="155"/>
        <v>Priya Singh</v>
      </c>
      <c r="G479" s="1" t="str">
        <f t="shared" ca="1" si="156"/>
        <v>Corporate</v>
      </c>
      <c r="H479" s="1" t="str">
        <f t="shared" si="157"/>
        <v>India</v>
      </c>
      <c r="I479" s="1" t="str">
        <f t="shared" ca="1" si="158"/>
        <v>South</v>
      </c>
      <c r="J479" s="1" t="str">
        <f t="shared" ca="1" si="159"/>
        <v>West Bengal</v>
      </c>
      <c r="K479" s="1" t="str">
        <f t="shared" ca="1" si="160"/>
        <v>Bangalore</v>
      </c>
      <c r="L479" s="1" t="str">
        <f t="shared" ca="1" si="161"/>
        <v>Furniture</v>
      </c>
      <c r="M479" s="1" t="str">
        <f t="shared" ca="1" si="162"/>
        <v>Laptop</v>
      </c>
      <c r="N479" s="1" t="str">
        <f t="shared" ca="1" si="163"/>
        <v>A4 Paper</v>
      </c>
      <c r="O479" s="1">
        <f t="shared" ca="1" si="164"/>
        <v>33516</v>
      </c>
      <c r="P479" s="1">
        <f t="shared" ca="1" si="165"/>
        <v>8</v>
      </c>
      <c r="Q479" s="19">
        <f t="shared" ca="1" si="166"/>
        <v>0.3</v>
      </c>
      <c r="R479" s="1">
        <f t="shared" ca="1" si="167"/>
        <v>-4021.92</v>
      </c>
      <c r="S479" s="1">
        <f t="shared" ca="1" si="151"/>
        <v>4</v>
      </c>
      <c r="T479" s="19">
        <f t="shared" ca="1" si="152"/>
        <v>-0.12</v>
      </c>
      <c r="U479" s="1" t="str">
        <f t="shared" ca="1" si="153"/>
        <v>High Discount</v>
      </c>
    </row>
    <row r="480" spans="1:21" ht="15.6" customHeight="1" x14ac:dyDescent="0.3">
      <c r="A480" s="1" t="str">
        <f t="shared" si="148"/>
        <v>ORD-479</v>
      </c>
      <c r="B480" s="10">
        <f t="shared" ca="1" si="149"/>
        <v>45332</v>
      </c>
      <c r="C480" s="7">
        <f t="shared" ca="1" si="150"/>
        <v>45332</v>
      </c>
      <c r="D480" s="1" t="str">
        <f t="shared" ca="1" si="168"/>
        <v>Standard Class</v>
      </c>
      <c r="E480" s="1" t="str">
        <f t="shared" ca="1" si="154"/>
        <v>CU-932</v>
      </c>
      <c r="F480" s="1" t="str">
        <f t="shared" ca="1" si="155"/>
        <v>Ravi Mehta</v>
      </c>
      <c r="G480" s="1" t="str">
        <f t="shared" ca="1" si="156"/>
        <v>Corporate</v>
      </c>
      <c r="H480" s="1" t="str">
        <f t="shared" si="157"/>
        <v>India</v>
      </c>
      <c r="I480" s="1" t="str">
        <f t="shared" ca="1" si="158"/>
        <v>North</v>
      </c>
      <c r="J480" s="1" t="str">
        <f t="shared" ca="1" si="159"/>
        <v>Karnataka</v>
      </c>
      <c r="K480" s="1" t="str">
        <f t="shared" ca="1" si="160"/>
        <v>Delhi</v>
      </c>
      <c r="L480" s="1" t="str">
        <f t="shared" ca="1" si="161"/>
        <v>Office Supplies</v>
      </c>
      <c r="M480" s="1" t="str">
        <f t="shared" ca="1" si="162"/>
        <v>Mobile</v>
      </c>
      <c r="N480" s="1" t="str">
        <f t="shared" ca="1" si="163"/>
        <v>Office Chair</v>
      </c>
      <c r="O480" s="1">
        <f t="shared" ca="1" si="164"/>
        <v>1922</v>
      </c>
      <c r="P480" s="1">
        <f t="shared" ca="1" si="165"/>
        <v>9</v>
      </c>
      <c r="Q480" s="19">
        <f t="shared" ca="1" si="166"/>
        <v>0.05</v>
      </c>
      <c r="R480" s="1">
        <f t="shared" ca="1" si="167"/>
        <v>249.86</v>
      </c>
      <c r="S480" s="1">
        <f t="shared" ca="1" si="151"/>
        <v>0</v>
      </c>
      <c r="T480" s="19">
        <f t="shared" ca="1" si="152"/>
        <v>0.13</v>
      </c>
      <c r="U480" s="1" t="str">
        <f t="shared" ca="1" si="153"/>
        <v>Low Discount</v>
      </c>
    </row>
    <row r="481" spans="1:21" ht="15.6" customHeight="1" x14ac:dyDescent="0.3">
      <c r="A481" s="1" t="str">
        <f t="shared" si="148"/>
        <v>ORD-480</v>
      </c>
      <c r="B481" s="10">
        <f t="shared" ca="1" si="149"/>
        <v>45579</v>
      </c>
      <c r="C481" s="7">
        <f t="shared" ca="1" si="150"/>
        <v>45581</v>
      </c>
      <c r="D481" s="1" t="str">
        <f t="shared" ca="1" si="168"/>
        <v>Same Day</v>
      </c>
      <c r="E481" s="1" t="str">
        <f t="shared" ca="1" si="154"/>
        <v>CU-593</v>
      </c>
      <c r="F481" s="1" t="str">
        <f t="shared" ca="1" si="155"/>
        <v>Pooja Yadav</v>
      </c>
      <c r="G481" s="1" t="str">
        <f t="shared" ca="1" si="156"/>
        <v>Consumer</v>
      </c>
      <c r="H481" s="1" t="str">
        <f t="shared" si="157"/>
        <v>India</v>
      </c>
      <c r="I481" s="1" t="str">
        <f t="shared" ca="1" si="158"/>
        <v>North</v>
      </c>
      <c r="J481" s="1" t="str">
        <f t="shared" ca="1" si="159"/>
        <v>Tamil Nadu</v>
      </c>
      <c r="K481" s="1" t="str">
        <f t="shared" ca="1" si="160"/>
        <v>Ahmedabad</v>
      </c>
      <c r="L481" s="1" t="str">
        <f t="shared" ca="1" si="161"/>
        <v>Office Supplies</v>
      </c>
      <c r="M481" s="1" t="str">
        <f t="shared" ca="1" si="162"/>
        <v>Mobile</v>
      </c>
      <c r="N481" s="1" t="str">
        <f t="shared" ca="1" si="163"/>
        <v>Office Chair</v>
      </c>
      <c r="O481" s="1">
        <f t="shared" ca="1" si="164"/>
        <v>3841</v>
      </c>
      <c r="P481" s="1">
        <f t="shared" ca="1" si="165"/>
        <v>4</v>
      </c>
      <c r="Q481" s="19">
        <f t="shared" ca="1" si="166"/>
        <v>0.05</v>
      </c>
      <c r="R481" s="1">
        <f t="shared" ca="1" si="167"/>
        <v>499.33000000000004</v>
      </c>
      <c r="S481" s="1">
        <f t="shared" ca="1" si="151"/>
        <v>2</v>
      </c>
      <c r="T481" s="19">
        <f t="shared" ca="1" si="152"/>
        <v>0.13</v>
      </c>
      <c r="U481" s="1" t="str">
        <f t="shared" ca="1" si="153"/>
        <v>Low Discount</v>
      </c>
    </row>
    <row r="482" spans="1:21" ht="15.6" customHeight="1" x14ac:dyDescent="0.3">
      <c r="A482" s="1" t="str">
        <f t="shared" si="148"/>
        <v>ORD-481</v>
      </c>
      <c r="B482" s="10">
        <f t="shared" ca="1" si="149"/>
        <v>45458</v>
      </c>
      <c r="C482" s="7">
        <f t="shared" ca="1" si="150"/>
        <v>45463</v>
      </c>
      <c r="D482" s="1" t="str">
        <f t="shared" ca="1" si="168"/>
        <v>Same Day</v>
      </c>
      <c r="E482" s="1" t="str">
        <f t="shared" ca="1" si="154"/>
        <v>CU-696</v>
      </c>
      <c r="F482" s="1" t="str">
        <f t="shared" ca="1" si="155"/>
        <v>Rahul Sharma</v>
      </c>
      <c r="G482" s="1" t="str">
        <f t="shared" ca="1" si="156"/>
        <v>Corporate</v>
      </c>
      <c r="H482" s="1" t="str">
        <f t="shared" si="157"/>
        <v>India</v>
      </c>
      <c r="I482" s="1" t="str">
        <f t="shared" ca="1" si="158"/>
        <v>East</v>
      </c>
      <c r="J482" s="1" t="str">
        <f t="shared" ca="1" si="159"/>
        <v>Delhi</v>
      </c>
      <c r="K482" s="1" t="str">
        <f t="shared" ca="1" si="160"/>
        <v>Chennai</v>
      </c>
      <c r="L482" s="1" t="str">
        <f t="shared" ca="1" si="161"/>
        <v>Technology</v>
      </c>
      <c r="M482" s="1" t="str">
        <f t="shared" ca="1" si="162"/>
        <v>Table</v>
      </c>
      <c r="N482" s="1" t="str">
        <f t="shared" ca="1" si="163"/>
        <v>Wireless Mouse</v>
      </c>
      <c r="O482" s="1">
        <f t="shared" ca="1" si="164"/>
        <v>22009</v>
      </c>
      <c r="P482" s="1">
        <f t="shared" ca="1" si="165"/>
        <v>8</v>
      </c>
      <c r="Q482" s="19">
        <f t="shared" ca="1" si="166"/>
        <v>0.2</v>
      </c>
      <c r="R482" s="1">
        <f t="shared" ca="1" si="167"/>
        <v>-440.1800000000004</v>
      </c>
      <c r="S482" s="1">
        <f t="shared" ca="1" si="151"/>
        <v>5</v>
      </c>
      <c r="T482" s="19">
        <f t="shared" ca="1" si="152"/>
        <v>-2.0000000000000018E-2</v>
      </c>
      <c r="U482" s="1" t="str">
        <f t="shared" ca="1" si="153"/>
        <v>High Discount</v>
      </c>
    </row>
    <row r="483" spans="1:21" ht="15.6" customHeight="1" x14ac:dyDescent="0.3">
      <c r="A483" s="1" t="str">
        <f t="shared" si="148"/>
        <v>ORD-482</v>
      </c>
      <c r="B483" s="10">
        <f t="shared" ca="1" si="149"/>
        <v>45596</v>
      </c>
      <c r="C483" s="7">
        <f t="shared" ca="1" si="150"/>
        <v>45596</v>
      </c>
      <c r="D483" s="1" t="str">
        <f t="shared" ca="1" si="168"/>
        <v>Standard Class</v>
      </c>
      <c r="E483" s="1" t="str">
        <f t="shared" ca="1" si="154"/>
        <v>CU-216</v>
      </c>
      <c r="F483" s="1" t="str">
        <f t="shared" ca="1" si="155"/>
        <v>Rahul Sharma</v>
      </c>
      <c r="G483" s="1" t="str">
        <f t="shared" ca="1" si="156"/>
        <v>Home Office</v>
      </c>
      <c r="H483" s="1" t="str">
        <f t="shared" si="157"/>
        <v>India</v>
      </c>
      <c r="I483" s="1" t="str">
        <f t="shared" ca="1" si="158"/>
        <v>North</v>
      </c>
      <c r="J483" s="1" t="str">
        <f t="shared" ca="1" si="159"/>
        <v>Tamil Nadu</v>
      </c>
      <c r="K483" s="1" t="str">
        <f t="shared" ca="1" si="160"/>
        <v>Bangalore</v>
      </c>
      <c r="L483" s="1" t="str">
        <f t="shared" ca="1" si="161"/>
        <v>Furniture</v>
      </c>
      <c r="M483" s="1" t="str">
        <f t="shared" ca="1" si="162"/>
        <v>Table</v>
      </c>
      <c r="N483" s="1" t="str">
        <f t="shared" ca="1" si="163"/>
        <v>Office Table</v>
      </c>
      <c r="O483" s="1">
        <f t="shared" ca="1" si="164"/>
        <v>21961</v>
      </c>
      <c r="P483" s="1">
        <f t="shared" ca="1" si="165"/>
        <v>7</v>
      </c>
      <c r="Q483" s="19">
        <f t="shared" ca="1" si="166"/>
        <v>0.3</v>
      </c>
      <c r="R483" s="1">
        <f t="shared" ca="1" si="167"/>
        <v>-2635.3199999999997</v>
      </c>
      <c r="S483" s="1">
        <f t="shared" ca="1" si="151"/>
        <v>0</v>
      </c>
      <c r="T483" s="19">
        <f t="shared" ca="1" si="152"/>
        <v>-0.11999999999999998</v>
      </c>
      <c r="U483" s="1" t="str">
        <f t="shared" ca="1" si="153"/>
        <v>High Discount</v>
      </c>
    </row>
    <row r="484" spans="1:21" ht="15.6" customHeight="1" x14ac:dyDescent="0.3">
      <c r="A484" s="1" t="str">
        <f t="shared" si="148"/>
        <v>ORD-483</v>
      </c>
      <c r="B484" s="10">
        <f t="shared" ca="1" si="149"/>
        <v>45552</v>
      </c>
      <c r="C484" s="7">
        <f t="shared" ca="1" si="150"/>
        <v>45555</v>
      </c>
      <c r="D484" s="1" t="str">
        <f t="shared" ca="1" si="168"/>
        <v>Same Day</v>
      </c>
      <c r="E484" s="1" t="str">
        <f t="shared" ca="1" si="154"/>
        <v>CU-289</v>
      </c>
      <c r="F484" s="1" t="str">
        <f t="shared" ca="1" si="155"/>
        <v>Pooja Yadav</v>
      </c>
      <c r="G484" s="1" t="str">
        <f t="shared" ca="1" si="156"/>
        <v>Corporate</v>
      </c>
      <c r="H484" s="1" t="str">
        <f t="shared" si="157"/>
        <v>India</v>
      </c>
      <c r="I484" s="1" t="str">
        <f t="shared" ca="1" si="158"/>
        <v>East</v>
      </c>
      <c r="J484" s="1" t="str">
        <f t="shared" ca="1" si="159"/>
        <v>Maharashtra</v>
      </c>
      <c r="K484" s="1" t="str">
        <f t="shared" ca="1" si="160"/>
        <v>Delhi</v>
      </c>
      <c r="L484" s="1" t="str">
        <f t="shared" ca="1" si="161"/>
        <v>Furniture</v>
      </c>
      <c r="M484" s="1" t="str">
        <f t="shared" ca="1" si="162"/>
        <v>Table</v>
      </c>
      <c r="N484" s="1" t="str">
        <f t="shared" ca="1" si="163"/>
        <v>Office Chair</v>
      </c>
      <c r="O484" s="1">
        <f t="shared" ca="1" si="164"/>
        <v>38391</v>
      </c>
      <c r="P484" s="1">
        <f t="shared" ca="1" si="165"/>
        <v>7</v>
      </c>
      <c r="Q484" s="19">
        <f t="shared" ca="1" si="166"/>
        <v>0</v>
      </c>
      <c r="R484" s="1">
        <f t="shared" ca="1" si="167"/>
        <v>6910.38</v>
      </c>
      <c r="S484" s="1">
        <f t="shared" ca="1" si="151"/>
        <v>3</v>
      </c>
      <c r="T484" s="19">
        <f t="shared" ca="1" si="152"/>
        <v>0.18</v>
      </c>
      <c r="U484" s="1" t="str">
        <f t="shared" ca="1" si="153"/>
        <v>Low Discount</v>
      </c>
    </row>
    <row r="485" spans="1:21" ht="15.6" customHeight="1" x14ac:dyDescent="0.3">
      <c r="A485" s="1" t="str">
        <f t="shared" si="148"/>
        <v>ORD-484</v>
      </c>
      <c r="B485" s="10">
        <f t="shared" ca="1" si="149"/>
        <v>45513</v>
      </c>
      <c r="C485" s="7">
        <f t="shared" ca="1" si="150"/>
        <v>45518</v>
      </c>
      <c r="D485" s="1" t="str">
        <f t="shared" ca="1" si="168"/>
        <v>Same Day</v>
      </c>
      <c r="E485" s="1" t="str">
        <f t="shared" ca="1" si="154"/>
        <v>CU-893</v>
      </c>
      <c r="F485" s="1" t="str">
        <f t="shared" ca="1" si="155"/>
        <v>Ravi Mehta</v>
      </c>
      <c r="G485" s="1" t="str">
        <f t="shared" ca="1" si="156"/>
        <v>Corporate</v>
      </c>
      <c r="H485" s="1" t="str">
        <f t="shared" si="157"/>
        <v>India</v>
      </c>
      <c r="I485" s="1" t="str">
        <f t="shared" ca="1" si="158"/>
        <v>North</v>
      </c>
      <c r="J485" s="1" t="str">
        <f t="shared" ca="1" si="159"/>
        <v>Karnataka</v>
      </c>
      <c r="K485" s="1" t="str">
        <f t="shared" ca="1" si="160"/>
        <v>Chennai</v>
      </c>
      <c r="L485" s="1" t="str">
        <f t="shared" ca="1" si="161"/>
        <v>Furniture</v>
      </c>
      <c r="M485" s="1" t="str">
        <f t="shared" ca="1" si="162"/>
        <v>Paper</v>
      </c>
      <c r="N485" s="1" t="str">
        <f t="shared" ca="1" si="163"/>
        <v>Wireless Mouse</v>
      </c>
      <c r="O485" s="1">
        <f t="shared" ca="1" si="164"/>
        <v>48426</v>
      </c>
      <c r="P485" s="1">
        <f t="shared" ca="1" si="165"/>
        <v>6</v>
      </c>
      <c r="Q485" s="19">
        <f t="shared" ca="1" si="166"/>
        <v>0.3</v>
      </c>
      <c r="R485" s="1">
        <f t="shared" ca="1" si="167"/>
        <v>-5811.12</v>
      </c>
      <c r="S485" s="1">
        <f t="shared" ca="1" si="151"/>
        <v>5</v>
      </c>
      <c r="T485" s="19">
        <f t="shared" ca="1" si="152"/>
        <v>-0.12</v>
      </c>
      <c r="U485" s="1" t="str">
        <f t="shared" ca="1" si="153"/>
        <v>High Discount</v>
      </c>
    </row>
    <row r="486" spans="1:21" ht="15.6" customHeight="1" x14ac:dyDescent="0.3">
      <c r="A486" s="1" t="str">
        <f t="shared" si="148"/>
        <v>ORD-485</v>
      </c>
      <c r="B486" s="10">
        <f t="shared" ca="1" si="149"/>
        <v>45652</v>
      </c>
      <c r="C486" s="7">
        <f t="shared" ca="1" si="150"/>
        <v>45656</v>
      </c>
      <c r="D486" s="1" t="str">
        <f t="shared" ca="1" si="168"/>
        <v>Same Day</v>
      </c>
      <c r="E486" s="1" t="str">
        <f t="shared" ca="1" si="154"/>
        <v>CU-976</v>
      </c>
      <c r="F486" s="1" t="str">
        <f t="shared" ca="1" si="155"/>
        <v>Priya Singh</v>
      </c>
      <c r="G486" s="1" t="str">
        <f t="shared" ca="1" si="156"/>
        <v>Consumer</v>
      </c>
      <c r="H486" s="1" t="str">
        <f t="shared" si="157"/>
        <v>India</v>
      </c>
      <c r="I486" s="1" t="str">
        <f t="shared" ca="1" si="158"/>
        <v>West</v>
      </c>
      <c r="J486" s="1" t="str">
        <f t="shared" ca="1" si="159"/>
        <v>Tamil Nadu</v>
      </c>
      <c r="K486" s="1" t="str">
        <f t="shared" ca="1" si="160"/>
        <v>Delhi</v>
      </c>
      <c r="L486" s="1" t="str">
        <f t="shared" ca="1" si="161"/>
        <v>Technology</v>
      </c>
      <c r="M486" s="1" t="str">
        <f t="shared" ca="1" si="162"/>
        <v>Chair</v>
      </c>
      <c r="N486" s="1" t="str">
        <f t="shared" ca="1" si="163"/>
        <v>Samsung Galaxy</v>
      </c>
      <c r="O486" s="1">
        <f t="shared" ca="1" si="164"/>
        <v>56035</v>
      </c>
      <c r="P486" s="1">
        <f t="shared" ca="1" si="165"/>
        <v>8</v>
      </c>
      <c r="Q486" s="19">
        <f t="shared" ca="1" si="166"/>
        <v>0</v>
      </c>
      <c r="R486" s="1">
        <f t="shared" ca="1" si="167"/>
        <v>10086.299999999999</v>
      </c>
      <c r="S486" s="1">
        <f t="shared" ca="1" si="151"/>
        <v>4</v>
      </c>
      <c r="T486" s="19">
        <f t="shared" ca="1" si="152"/>
        <v>0.18</v>
      </c>
      <c r="U486" s="1" t="str">
        <f t="shared" ca="1" si="153"/>
        <v>Low Discount</v>
      </c>
    </row>
    <row r="487" spans="1:21" ht="15.6" customHeight="1" x14ac:dyDescent="0.3">
      <c r="A487" s="1" t="str">
        <f t="shared" si="148"/>
        <v>ORD-486</v>
      </c>
      <c r="B487" s="10">
        <f t="shared" ca="1" si="149"/>
        <v>45485</v>
      </c>
      <c r="C487" s="7">
        <f t="shared" ca="1" si="150"/>
        <v>45489</v>
      </c>
      <c r="D487" s="1" t="str">
        <f t="shared" ca="1" si="168"/>
        <v>Second Class</v>
      </c>
      <c r="E487" s="1" t="str">
        <f t="shared" ca="1" si="154"/>
        <v>CU-109</v>
      </c>
      <c r="F487" s="1" t="str">
        <f t="shared" ca="1" si="155"/>
        <v>Pooja Yadav</v>
      </c>
      <c r="G487" s="1" t="str">
        <f t="shared" ca="1" si="156"/>
        <v>Home Office</v>
      </c>
      <c r="H487" s="1" t="str">
        <f t="shared" si="157"/>
        <v>India</v>
      </c>
      <c r="I487" s="1" t="str">
        <f t="shared" ca="1" si="158"/>
        <v>West</v>
      </c>
      <c r="J487" s="1" t="str">
        <f t="shared" ca="1" si="159"/>
        <v>Maharashtra</v>
      </c>
      <c r="K487" s="1" t="str">
        <f t="shared" ca="1" si="160"/>
        <v>Mumbai</v>
      </c>
      <c r="L487" s="1" t="str">
        <f t="shared" ca="1" si="161"/>
        <v>Office Supplies</v>
      </c>
      <c r="M487" s="1" t="str">
        <f t="shared" ca="1" si="162"/>
        <v>Paper</v>
      </c>
      <c r="N487" s="1" t="str">
        <f t="shared" ca="1" si="163"/>
        <v>HP Pavilion</v>
      </c>
      <c r="O487" s="1">
        <f t="shared" ca="1" si="164"/>
        <v>29207</v>
      </c>
      <c r="P487" s="1">
        <f t="shared" ca="1" si="165"/>
        <v>4</v>
      </c>
      <c r="Q487" s="19">
        <f t="shared" ca="1" si="166"/>
        <v>0</v>
      </c>
      <c r="R487" s="1">
        <f t="shared" ca="1" si="167"/>
        <v>5257.26</v>
      </c>
      <c r="S487" s="1">
        <f t="shared" ca="1" si="151"/>
        <v>4</v>
      </c>
      <c r="T487" s="19">
        <f t="shared" ca="1" si="152"/>
        <v>0.18000000000000002</v>
      </c>
      <c r="U487" s="1" t="str">
        <f t="shared" ca="1" si="153"/>
        <v>Low Discount</v>
      </c>
    </row>
    <row r="488" spans="1:21" ht="15.6" customHeight="1" x14ac:dyDescent="0.3">
      <c r="A488" s="1" t="str">
        <f t="shared" si="148"/>
        <v>ORD-487</v>
      </c>
      <c r="B488" s="10">
        <f t="shared" ca="1" si="149"/>
        <v>45294</v>
      </c>
      <c r="C488" s="7">
        <f t="shared" ca="1" si="150"/>
        <v>45299</v>
      </c>
      <c r="D488" s="1" t="str">
        <f t="shared" ca="1" si="168"/>
        <v>Second Class</v>
      </c>
      <c r="E488" s="1" t="str">
        <f t="shared" ca="1" si="154"/>
        <v>CU-344</v>
      </c>
      <c r="F488" s="1" t="str">
        <f t="shared" ca="1" si="155"/>
        <v>Neha Gupta</v>
      </c>
      <c r="G488" s="1" t="str">
        <f t="shared" ca="1" si="156"/>
        <v>Home Office</v>
      </c>
      <c r="H488" s="1" t="str">
        <f t="shared" si="157"/>
        <v>India</v>
      </c>
      <c r="I488" s="1" t="str">
        <f t="shared" ca="1" si="158"/>
        <v>North</v>
      </c>
      <c r="J488" s="1" t="str">
        <f t="shared" ca="1" si="159"/>
        <v>Gujarat</v>
      </c>
      <c r="K488" s="1" t="str">
        <f t="shared" ca="1" si="160"/>
        <v>Chennai</v>
      </c>
      <c r="L488" s="1" t="str">
        <f t="shared" ca="1" si="161"/>
        <v>Furniture</v>
      </c>
      <c r="M488" s="1" t="str">
        <f t="shared" ca="1" si="162"/>
        <v>Laptop</v>
      </c>
      <c r="N488" s="1" t="str">
        <f t="shared" ca="1" si="163"/>
        <v>Wireless Mouse</v>
      </c>
      <c r="O488" s="1">
        <f t="shared" ca="1" si="164"/>
        <v>59412</v>
      </c>
      <c r="P488" s="1">
        <f t="shared" ca="1" si="165"/>
        <v>6</v>
      </c>
      <c r="Q488" s="19">
        <f t="shared" ca="1" si="166"/>
        <v>0.2</v>
      </c>
      <c r="R488" s="1">
        <f t="shared" ca="1" si="167"/>
        <v>-1188.2400000000011</v>
      </c>
      <c r="S488" s="1">
        <f t="shared" ca="1" si="151"/>
        <v>5</v>
      </c>
      <c r="T488" s="19">
        <f t="shared" ca="1" si="152"/>
        <v>-2.0000000000000018E-2</v>
      </c>
      <c r="U488" s="1" t="str">
        <f t="shared" ca="1" si="153"/>
        <v>High Discount</v>
      </c>
    </row>
    <row r="489" spans="1:21" ht="15.6" customHeight="1" x14ac:dyDescent="0.3">
      <c r="A489" s="1" t="str">
        <f t="shared" si="148"/>
        <v>ORD-488</v>
      </c>
      <c r="B489" s="10">
        <f t="shared" ca="1" si="149"/>
        <v>45401</v>
      </c>
      <c r="C489" s="7">
        <f t="shared" ca="1" si="150"/>
        <v>45404</v>
      </c>
      <c r="D489" s="1" t="str">
        <f t="shared" ca="1" si="168"/>
        <v>Standard Class</v>
      </c>
      <c r="E489" s="1" t="str">
        <f t="shared" ca="1" si="154"/>
        <v>CU-670</v>
      </c>
      <c r="F489" s="1" t="str">
        <f t="shared" ca="1" si="155"/>
        <v>Ravi Mehta</v>
      </c>
      <c r="G489" s="1" t="str">
        <f t="shared" ca="1" si="156"/>
        <v>Home Office</v>
      </c>
      <c r="H489" s="1" t="str">
        <f t="shared" si="157"/>
        <v>India</v>
      </c>
      <c r="I489" s="1" t="str">
        <f t="shared" ca="1" si="158"/>
        <v>South</v>
      </c>
      <c r="J489" s="1" t="str">
        <f t="shared" ca="1" si="159"/>
        <v>Tamil Nadu</v>
      </c>
      <c r="K489" s="1" t="str">
        <f t="shared" ca="1" si="160"/>
        <v>Chennai</v>
      </c>
      <c r="L489" s="1" t="str">
        <f t="shared" ca="1" si="161"/>
        <v>Technology</v>
      </c>
      <c r="M489" s="1" t="str">
        <f t="shared" ca="1" si="162"/>
        <v>Laptop</v>
      </c>
      <c r="N489" s="1" t="str">
        <f t="shared" ca="1" si="163"/>
        <v>Wireless Mouse</v>
      </c>
      <c r="O489" s="1">
        <f t="shared" ca="1" si="164"/>
        <v>35518</v>
      </c>
      <c r="P489" s="1">
        <f t="shared" ca="1" si="165"/>
        <v>9</v>
      </c>
      <c r="Q489" s="19">
        <f t="shared" ca="1" si="166"/>
        <v>0</v>
      </c>
      <c r="R489" s="1">
        <f t="shared" ca="1" si="167"/>
        <v>6393.24</v>
      </c>
      <c r="S489" s="1">
        <f t="shared" ca="1" si="151"/>
        <v>3</v>
      </c>
      <c r="T489" s="19">
        <f t="shared" ca="1" si="152"/>
        <v>0.18</v>
      </c>
      <c r="U489" s="1" t="str">
        <f t="shared" ca="1" si="153"/>
        <v>Low Discount</v>
      </c>
    </row>
    <row r="490" spans="1:21" ht="15.6" customHeight="1" x14ac:dyDescent="0.3">
      <c r="A490" s="1" t="str">
        <f t="shared" si="148"/>
        <v>ORD-489</v>
      </c>
      <c r="B490" s="10">
        <f t="shared" ca="1" si="149"/>
        <v>45497</v>
      </c>
      <c r="C490" s="7">
        <f t="shared" ca="1" si="150"/>
        <v>45501</v>
      </c>
      <c r="D490" s="1" t="str">
        <f t="shared" ca="1" si="168"/>
        <v>Same Day</v>
      </c>
      <c r="E490" s="1" t="str">
        <f t="shared" ca="1" si="154"/>
        <v>CU-464</v>
      </c>
      <c r="F490" s="1" t="str">
        <f t="shared" ca="1" si="155"/>
        <v>Rahul Sharma</v>
      </c>
      <c r="G490" s="1" t="str">
        <f t="shared" ca="1" si="156"/>
        <v>Corporate</v>
      </c>
      <c r="H490" s="1" t="str">
        <f t="shared" si="157"/>
        <v>India</v>
      </c>
      <c r="I490" s="1" t="str">
        <f t="shared" ca="1" si="158"/>
        <v>East</v>
      </c>
      <c r="J490" s="1" t="str">
        <f t="shared" ca="1" si="159"/>
        <v>Karnataka</v>
      </c>
      <c r="K490" s="1" t="str">
        <f t="shared" ca="1" si="160"/>
        <v>Delhi</v>
      </c>
      <c r="L490" s="1" t="str">
        <f t="shared" ca="1" si="161"/>
        <v>Furniture</v>
      </c>
      <c r="M490" s="1" t="str">
        <f t="shared" ca="1" si="162"/>
        <v>Chair</v>
      </c>
      <c r="N490" s="1" t="str">
        <f t="shared" ca="1" si="163"/>
        <v>Wireless Mouse</v>
      </c>
      <c r="O490" s="1">
        <f t="shared" ca="1" si="164"/>
        <v>5802</v>
      </c>
      <c r="P490" s="1">
        <f t="shared" ca="1" si="165"/>
        <v>3</v>
      </c>
      <c r="Q490" s="19">
        <f t="shared" ca="1" si="166"/>
        <v>0.3</v>
      </c>
      <c r="R490" s="1">
        <f t="shared" ca="1" si="167"/>
        <v>-696.24</v>
      </c>
      <c r="S490" s="1">
        <f t="shared" ca="1" si="151"/>
        <v>4</v>
      </c>
      <c r="T490" s="19">
        <f t="shared" ca="1" si="152"/>
        <v>-0.12</v>
      </c>
      <c r="U490" s="1" t="str">
        <f t="shared" ca="1" si="153"/>
        <v>High Discount</v>
      </c>
    </row>
    <row r="491" spans="1:21" ht="15.6" customHeight="1" x14ac:dyDescent="0.3">
      <c r="A491" s="1" t="str">
        <f t="shared" si="148"/>
        <v>ORD-490</v>
      </c>
      <c r="B491" s="10">
        <f t="shared" ca="1" si="149"/>
        <v>45407</v>
      </c>
      <c r="C491" s="7">
        <f t="shared" ca="1" si="150"/>
        <v>45412</v>
      </c>
      <c r="D491" s="1" t="str">
        <f t="shared" ca="1" si="168"/>
        <v>Second Class</v>
      </c>
      <c r="E491" s="1" t="str">
        <f t="shared" ca="1" si="154"/>
        <v>CU-406</v>
      </c>
      <c r="F491" s="1" t="str">
        <f t="shared" ca="1" si="155"/>
        <v>Rahul Sharma</v>
      </c>
      <c r="G491" s="1" t="str">
        <f t="shared" ca="1" si="156"/>
        <v>Home Office</v>
      </c>
      <c r="H491" s="1" t="str">
        <f t="shared" si="157"/>
        <v>India</v>
      </c>
      <c r="I491" s="1" t="str">
        <f t="shared" ca="1" si="158"/>
        <v>East</v>
      </c>
      <c r="J491" s="1" t="str">
        <f t="shared" ca="1" si="159"/>
        <v>Gujarat</v>
      </c>
      <c r="K491" s="1" t="str">
        <f t="shared" ca="1" si="160"/>
        <v>Mumbai</v>
      </c>
      <c r="L491" s="1" t="str">
        <f t="shared" ca="1" si="161"/>
        <v>Technology</v>
      </c>
      <c r="M491" s="1" t="str">
        <f t="shared" ca="1" si="162"/>
        <v>Paper</v>
      </c>
      <c r="N491" s="1" t="str">
        <f t="shared" ca="1" si="163"/>
        <v>Samsung Galaxy</v>
      </c>
      <c r="O491" s="1">
        <f t="shared" ca="1" si="164"/>
        <v>16689</v>
      </c>
      <c r="P491" s="1">
        <f t="shared" ca="1" si="165"/>
        <v>3</v>
      </c>
      <c r="Q491" s="19">
        <f t="shared" ca="1" si="166"/>
        <v>0</v>
      </c>
      <c r="R491" s="1">
        <f t="shared" ca="1" si="167"/>
        <v>3004.02</v>
      </c>
      <c r="S491" s="1">
        <f t="shared" ca="1" si="151"/>
        <v>5</v>
      </c>
      <c r="T491" s="19">
        <f t="shared" ca="1" si="152"/>
        <v>0.18</v>
      </c>
      <c r="U491" s="1" t="str">
        <f t="shared" ca="1" si="153"/>
        <v>Low Discount</v>
      </c>
    </row>
    <row r="492" spans="1:21" ht="15.6" customHeight="1" x14ac:dyDescent="0.3">
      <c r="A492" s="1" t="str">
        <f t="shared" si="148"/>
        <v>ORD-491</v>
      </c>
      <c r="B492" s="10">
        <f t="shared" ca="1" si="149"/>
        <v>45445</v>
      </c>
      <c r="C492" s="7">
        <f t="shared" ca="1" si="150"/>
        <v>45445</v>
      </c>
      <c r="D492" s="1" t="str">
        <f t="shared" ca="1" si="168"/>
        <v>Second Class</v>
      </c>
      <c r="E492" s="1" t="str">
        <f t="shared" ca="1" si="154"/>
        <v>CU-951</v>
      </c>
      <c r="F492" s="1" t="str">
        <f t="shared" ca="1" si="155"/>
        <v>Sunil Kumar</v>
      </c>
      <c r="G492" s="1" t="str">
        <f t="shared" ca="1" si="156"/>
        <v>Home Office</v>
      </c>
      <c r="H492" s="1" t="str">
        <f t="shared" si="157"/>
        <v>India</v>
      </c>
      <c r="I492" s="1" t="str">
        <f t="shared" ca="1" si="158"/>
        <v>West</v>
      </c>
      <c r="J492" s="1" t="str">
        <f t="shared" ca="1" si="159"/>
        <v>Tamil Nadu</v>
      </c>
      <c r="K492" s="1" t="str">
        <f t="shared" ca="1" si="160"/>
        <v>Ahmedabad</v>
      </c>
      <c r="L492" s="1" t="str">
        <f t="shared" ca="1" si="161"/>
        <v>Office Supplies</v>
      </c>
      <c r="M492" s="1" t="str">
        <f t="shared" ca="1" si="162"/>
        <v>Laptop</v>
      </c>
      <c r="N492" s="1" t="str">
        <f t="shared" ca="1" si="163"/>
        <v>HP Pavilion</v>
      </c>
      <c r="O492" s="1">
        <f t="shared" ca="1" si="164"/>
        <v>22839</v>
      </c>
      <c r="P492" s="1">
        <f t="shared" ca="1" si="165"/>
        <v>3</v>
      </c>
      <c r="Q492" s="19">
        <f t="shared" ca="1" si="166"/>
        <v>0.2</v>
      </c>
      <c r="R492" s="1">
        <f t="shared" ca="1" si="167"/>
        <v>-456.78000000000043</v>
      </c>
      <c r="S492" s="1">
        <f t="shared" ca="1" si="151"/>
        <v>0</v>
      </c>
      <c r="T492" s="19">
        <f t="shared" ca="1" si="152"/>
        <v>-2.0000000000000018E-2</v>
      </c>
      <c r="U492" s="1" t="str">
        <f t="shared" ca="1" si="153"/>
        <v>High Discount</v>
      </c>
    </row>
    <row r="493" spans="1:21" ht="15.6" customHeight="1" x14ac:dyDescent="0.3">
      <c r="A493" s="1" t="str">
        <f t="shared" si="148"/>
        <v>ORD-492</v>
      </c>
      <c r="B493" s="10">
        <f t="shared" ca="1" si="149"/>
        <v>45376</v>
      </c>
      <c r="C493" s="7">
        <f t="shared" ca="1" si="150"/>
        <v>45377</v>
      </c>
      <c r="D493" s="1" t="str">
        <f t="shared" ca="1" si="168"/>
        <v>Same Day</v>
      </c>
      <c r="E493" s="1" t="str">
        <f t="shared" ca="1" si="154"/>
        <v>CU-320</v>
      </c>
      <c r="F493" s="1" t="str">
        <f t="shared" ca="1" si="155"/>
        <v>Amit Verma</v>
      </c>
      <c r="G493" s="1" t="str">
        <f t="shared" ca="1" si="156"/>
        <v>Consumer</v>
      </c>
      <c r="H493" s="1" t="str">
        <f t="shared" si="157"/>
        <v>India</v>
      </c>
      <c r="I493" s="1" t="str">
        <f t="shared" ca="1" si="158"/>
        <v>South</v>
      </c>
      <c r="J493" s="1" t="str">
        <f t="shared" ca="1" si="159"/>
        <v>Tamil Nadu</v>
      </c>
      <c r="K493" s="1" t="str">
        <f t="shared" ca="1" si="160"/>
        <v>Kolkata</v>
      </c>
      <c r="L493" s="1" t="str">
        <f t="shared" ca="1" si="161"/>
        <v>Office Supplies</v>
      </c>
      <c r="M493" s="1" t="str">
        <f t="shared" ca="1" si="162"/>
        <v>Paper</v>
      </c>
      <c r="N493" s="1" t="str">
        <f t="shared" ca="1" si="163"/>
        <v>Wireless Mouse</v>
      </c>
      <c r="O493" s="1">
        <f t="shared" ca="1" si="164"/>
        <v>22662</v>
      </c>
      <c r="P493" s="1">
        <f t="shared" ca="1" si="165"/>
        <v>10</v>
      </c>
      <c r="Q493" s="19">
        <f t="shared" ca="1" si="166"/>
        <v>0</v>
      </c>
      <c r="R493" s="1">
        <f t="shared" ca="1" si="167"/>
        <v>4079.16</v>
      </c>
      <c r="S493" s="1">
        <f t="shared" ca="1" si="151"/>
        <v>1</v>
      </c>
      <c r="T493" s="19">
        <f t="shared" ca="1" si="152"/>
        <v>0.18</v>
      </c>
      <c r="U493" s="1" t="str">
        <f t="shared" ca="1" si="153"/>
        <v>Low Discount</v>
      </c>
    </row>
    <row r="494" spans="1:21" ht="15.6" customHeight="1" x14ac:dyDescent="0.3">
      <c r="A494" s="1" t="str">
        <f t="shared" si="148"/>
        <v>ORD-493</v>
      </c>
      <c r="B494" s="10">
        <f t="shared" ca="1" si="149"/>
        <v>45359</v>
      </c>
      <c r="C494" s="7">
        <f t="shared" ca="1" si="150"/>
        <v>45364</v>
      </c>
      <c r="D494" s="1" t="str">
        <f t="shared" ca="1" si="168"/>
        <v>Second Class</v>
      </c>
      <c r="E494" s="1" t="str">
        <f t="shared" ca="1" si="154"/>
        <v>CU-901</v>
      </c>
      <c r="F494" s="1" t="str">
        <f t="shared" ca="1" si="155"/>
        <v>Sunil Kumar</v>
      </c>
      <c r="G494" s="1" t="str">
        <f t="shared" ca="1" si="156"/>
        <v>Home Office</v>
      </c>
      <c r="H494" s="1" t="str">
        <f t="shared" si="157"/>
        <v>India</v>
      </c>
      <c r="I494" s="1" t="str">
        <f t="shared" ca="1" si="158"/>
        <v>East</v>
      </c>
      <c r="J494" s="1" t="str">
        <f t="shared" ca="1" si="159"/>
        <v>Karnataka</v>
      </c>
      <c r="K494" s="1" t="str">
        <f t="shared" ca="1" si="160"/>
        <v>Delhi</v>
      </c>
      <c r="L494" s="1" t="str">
        <f t="shared" ca="1" si="161"/>
        <v>Office Supplies</v>
      </c>
      <c r="M494" s="1" t="str">
        <f t="shared" ca="1" si="162"/>
        <v>Table</v>
      </c>
      <c r="N494" s="1" t="str">
        <f t="shared" ca="1" si="163"/>
        <v>HP Pavilion</v>
      </c>
      <c r="O494" s="1">
        <f t="shared" ca="1" si="164"/>
        <v>29887</v>
      </c>
      <c r="P494" s="1">
        <f t="shared" ca="1" si="165"/>
        <v>1</v>
      </c>
      <c r="Q494" s="19">
        <f t="shared" ca="1" si="166"/>
        <v>0.2</v>
      </c>
      <c r="R494" s="1">
        <f t="shared" ca="1" si="167"/>
        <v>-597.74000000000058</v>
      </c>
      <c r="S494" s="1">
        <f t="shared" ca="1" si="151"/>
        <v>5</v>
      </c>
      <c r="T494" s="19">
        <f t="shared" ca="1" si="152"/>
        <v>-2.0000000000000018E-2</v>
      </c>
      <c r="U494" s="1" t="str">
        <f t="shared" ca="1" si="153"/>
        <v>High Discount</v>
      </c>
    </row>
    <row r="495" spans="1:21" ht="15.6" customHeight="1" x14ac:dyDescent="0.3">
      <c r="A495" s="1" t="str">
        <f t="shared" si="148"/>
        <v>ORD-494</v>
      </c>
      <c r="B495" s="10">
        <f t="shared" ca="1" si="149"/>
        <v>45653</v>
      </c>
      <c r="C495" s="7">
        <f t="shared" ca="1" si="150"/>
        <v>45658</v>
      </c>
      <c r="D495" s="1" t="str">
        <f t="shared" ca="1" si="168"/>
        <v>Same Day</v>
      </c>
      <c r="E495" s="1" t="str">
        <f t="shared" ca="1" si="154"/>
        <v>CU-724</v>
      </c>
      <c r="F495" s="1" t="str">
        <f t="shared" ca="1" si="155"/>
        <v>Priya Singh</v>
      </c>
      <c r="G495" s="1" t="str">
        <f t="shared" ca="1" si="156"/>
        <v>Home Office</v>
      </c>
      <c r="H495" s="1" t="str">
        <f t="shared" si="157"/>
        <v>India</v>
      </c>
      <c r="I495" s="1" t="str">
        <f t="shared" ca="1" si="158"/>
        <v>North</v>
      </c>
      <c r="J495" s="1" t="str">
        <f t="shared" ca="1" si="159"/>
        <v>Gujarat</v>
      </c>
      <c r="K495" s="1" t="str">
        <f t="shared" ca="1" si="160"/>
        <v>Chennai</v>
      </c>
      <c r="L495" s="1" t="str">
        <f t="shared" ca="1" si="161"/>
        <v>Furniture</v>
      </c>
      <c r="M495" s="1" t="str">
        <f t="shared" ca="1" si="162"/>
        <v>Mobile</v>
      </c>
      <c r="N495" s="1" t="str">
        <f t="shared" ca="1" si="163"/>
        <v>Wireless Mouse</v>
      </c>
      <c r="O495" s="1">
        <f t="shared" ca="1" si="164"/>
        <v>37266</v>
      </c>
      <c r="P495" s="1">
        <f t="shared" ca="1" si="165"/>
        <v>8</v>
      </c>
      <c r="Q495" s="19">
        <f t="shared" ca="1" si="166"/>
        <v>0.2</v>
      </c>
      <c r="R495" s="1">
        <f t="shared" ca="1" si="167"/>
        <v>-745.32000000000062</v>
      </c>
      <c r="S495" s="1">
        <f t="shared" ca="1" si="151"/>
        <v>5</v>
      </c>
      <c r="T495" s="19">
        <f t="shared" ca="1" si="152"/>
        <v>-2.0000000000000018E-2</v>
      </c>
      <c r="U495" s="1" t="str">
        <f t="shared" ca="1" si="153"/>
        <v>High Discount</v>
      </c>
    </row>
    <row r="496" spans="1:21" ht="15.6" customHeight="1" x14ac:dyDescent="0.3">
      <c r="A496" s="1" t="str">
        <f t="shared" si="148"/>
        <v>ORD-495</v>
      </c>
      <c r="B496" s="10">
        <f t="shared" ca="1" si="149"/>
        <v>45441</v>
      </c>
      <c r="C496" s="7">
        <f t="shared" ca="1" si="150"/>
        <v>45444</v>
      </c>
      <c r="D496" s="1" t="str">
        <f t="shared" ca="1" si="168"/>
        <v>Same Day</v>
      </c>
      <c r="E496" s="1" t="str">
        <f t="shared" ca="1" si="154"/>
        <v>CU-476</v>
      </c>
      <c r="F496" s="1" t="str">
        <f t="shared" ca="1" si="155"/>
        <v>Pooja Yadav</v>
      </c>
      <c r="G496" s="1" t="str">
        <f t="shared" ca="1" si="156"/>
        <v>Corporate</v>
      </c>
      <c r="H496" s="1" t="str">
        <f t="shared" si="157"/>
        <v>India</v>
      </c>
      <c r="I496" s="1" t="str">
        <f t="shared" ca="1" si="158"/>
        <v>East</v>
      </c>
      <c r="J496" s="1" t="str">
        <f t="shared" ca="1" si="159"/>
        <v>Gujarat</v>
      </c>
      <c r="K496" s="1" t="str">
        <f t="shared" ca="1" si="160"/>
        <v>Mumbai</v>
      </c>
      <c r="L496" s="1" t="str">
        <f t="shared" ca="1" si="161"/>
        <v>Furniture</v>
      </c>
      <c r="M496" s="1" t="str">
        <f t="shared" ca="1" si="162"/>
        <v>Table</v>
      </c>
      <c r="N496" s="1" t="str">
        <f t="shared" ca="1" si="163"/>
        <v>HP Pavilion</v>
      </c>
      <c r="O496" s="1">
        <f t="shared" ca="1" si="164"/>
        <v>614</v>
      </c>
      <c r="P496" s="1">
        <f t="shared" ca="1" si="165"/>
        <v>3</v>
      </c>
      <c r="Q496" s="19">
        <f t="shared" ca="1" si="166"/>
        <v>0.1</v>
      </c>
      <c r="R496" s="1">
        <f t="shared" ca="1" si="167"/>
        <v>49.11999999999999</v>
      </c>
      <c r="S496" s="1">
        <f t="shared" ca="1" si="151"/>
        <v>3</v>
      </c>
      <c r="T496" s="19">
        <f t="shared" ca="1" si="152"/>
        <v>7.9999999999999988E-2</v>
      </c>
      <c r="U496" s="1" t="str">
        <f t="shared" ca="1" si="153"/>
        <v>Low Discount</v>
      </c>
    </row>
    <row r="497" spans="1:21" ht="15.6" customHeight="1" x14ac:dyDescent="0.3">
      <c r="A497" s="1" t="str">
        <f t="shared" si="148"/>
        <v>ORD-496</v>
      </c>
      <c r="B497" s="10">
        <f t="shared" ca="1" si="149"/>
        <v>45521</v>
      </c>
      <c r="C497" s="7">
        <f t="shared" ca="1" si="150"/>
        <v>45525</v>
      </c>
      <c r="D497" s="1" t="str">
        <f t="shared" ca="1" si="168"/>
        <v>Second Class</v>
      </c>
      <c r="E497" s="1" t="str">
        <f t="shared" ca="1" si="154"/>
        <v>CU-616</v>
      </c>
      <c r="F497" s="1" t="str">
        <f t="shared" ca="1" si="155"/>
        <v>Sunil Kumar</v>
      </c>
      <c r="G497" s="1" t="str">
        <f t="shared" ca="1" si="156"/>
        <v>Consumer</v>
      </c>
      <c r="H497" s="1" t="str">
        <f t="shared" si="157"/>
        <v>India</v>
      </c>
      <c r="I497" s="1" t="str">
        <f t="shared" ca="1" si="158"/>
        <v>West</v>
      </c>
      <c r="J497" s="1" t="str">
        <f t="shared" ca="1" si="159"/>
        <v>Tamil Nadu</v>
      </c>
      <c r="K497" s="1" t="str">
        <f t="shared" ca="1" si="160"/>
        <v>Delhi</v>
      </c>
      <c r="L497" s="1" t="str">
        <f t="shared" ca="1" si="161"/>
        <v>Furniture</v>
      </c>
      <c r="M497" s="1" t="str">
        <f t="shared" ca="1" si="162"/>
        <v>Paper</v>
      </c>
      <c r="N497" s="1" t="str">
        <f t="shared" ca="1" si="163"/>
        <v>A4 Paper</v>
      </c>
      <c r="O497" s="1">
        <f t="shared" ca="1" si="164"/>
        <v>35830</v>
      </c>
      <c r="P497" s="1">
        <f t="shared" ca="1" si="165"/>
        <v>5</v>
      </c>
      <c r="Q497" s="19">
        <f t="shared" ca="1" si="166"/>
        <v>0.1</v>
      </c>
      <c r="R497" s="1">
        <f t="shared" ca="1" si="167"/>
        <v>2866.3999999999996</v>
      </c>
      <c r="S497" s="1">
        <f t="shared" ca="1" si="151"/>
        <v>4</v>
      </c>
      <c r="T497" s="19">
        <f t="shared" ca="1" si="152"/>
        <v>7.9999999999999988E-2</v>
      </c>
      <c r="U497" s="1" t="str">
        <f t="shared" ca="1" si="153"/>
        <v>Low Discount</v>
      </c>
    </row>
    <row r="498" spans="1:21" ht="15.6" customHeight="1" x14ac:dyDescent="0.3">
      <c r="A498" s="1" t="str">
        <f t="shared" si="148"/>
        <v>ORD-497</v>
      </c>
      <c r="B498" s="10">
        <f t="shared" ca="1" si="149"/>
        <v>45354</v>
      </c>
      <c r="C498" s="7">
        <f t="shared" ca="1" si="150"/>
        <v>45357</v>
      </c>
      <c r="D498" s="1" t="str">
        <f t="shared" ca="1" si="168"/>
        <v>Standard Class</v>
      </c>
      <c r="E498" s="1" t="str">
        <f t="shared" ca="1" si="154"/>
        <v>CU-262</v>
      </c>
      <c r="F498" s="1" t="str">
        <f t="shared" ca="1" si="155"/>
        <v>Rahul Sharma</v>
      </c>
      <c r="G498" s="1" t="str">
        <f t="shared" ca="1" si="156"/>
        <v>Corporate</v>
      </c>
      <c r="H498" s="1" t="str">
        <f t="shared" si="157"/>
        <v>India</v>
      </c>
      <c r="I498" s="1" t="str">
        <f t="shared" ca="1" si="158"/>
        <v>West</v>
      </c>
      <c r="J498" s="1" t="str">
        <f t="shared" ca="1" si="159"/>
        <v>Gujarat</v>
      </c>
      <c r="K498" s="1" t="str">
        <f t="shared" ca="1" si="160"/>
        <v>Kolkata</v>
      </c>
      <c r="L498" s="1" t="str">
        <f t="shared" ca="1" si="161"/>
        <v>Technology</v>
      </c>
      <c r="M498" s="1" t="str">
        <f t="shared" ca="1" si="162"/>
        <v>Mobile</v>
      </c>
      <c r="N498" s="1" t="str">
        <f t="shared" ca="1" si="163"/>
        <v>Samsung Galaxy</v>
      </c>
      <c r="O498" s="1">
        <f t="shared" ca="1" si="164"/>
        <v>2268</v>
      </c>
      <c r="P498" s="1">
        <f t="shared" ca="1" si="165"/>
        <v>4</v>
      </c>
      <c r="Q498" s="19">
        <f t="shared" ca="1" si="166"/>
        <v>0.2</v>
      </c>
      <c r="R498" s="1">
        <f t="shared" ca="1" si="167"/>
        <v>-45.360000000000042</v>
      </c>
      <c r="S498" s="1">
        <f t="shared" ca="1" si="151"/>
        <v>3</v>
      </c>
      <c r="T498" s="19">
        <f t="shared" ca="1" si="152"/>
        <v>-2.0000000000000018E-2</v>
      </c>
      <c r="U498" s="1" t="str">
        <f t="shared" ca="1" si="153"/>
        <v>High Discount</v>
      </c>
    </row>
    <row r="499" spans="1:21" ht="15.6" customHeight="1" x14ac:dyDescent="0.3">
      <c r="A499" s="1" t="str">
        <f t="shared" si="148"/>
        <v>ORD-498</v>
      </c>
      <c r="B499" s="10">
        <f t="shared" ca="1" si="149"/>
        <v>45491</v>
      </c>
      <c r="C499" s="7">
        <f t="shared" ca="1" si="150"/>
        <v>45494</v>
      </c>
      <c r="D499" s="1" t="str">
        <f t="shared" ca="1" si="168"/>
        <v>Same Day</v>
      </c>
      <c r="E499" s="1" t="str">
        <f t="shared" ca="1" si="154"/>
        <v>CU-341</v>
      </c>
      <c r="F499" s="1" t="str">
        <f t="shared" ca="1" si="155"/>
        <v>Amit Verma</v>
      </c>
      <c r="G499" s="1" t="str">
        <f t="shared" ca="1" si="156"/>
        <v>Consumer</v>
      </c>
      <c r="H499" s="1" t="str">
        <f t="shared" si="157"/>
        <v>India</v>
      </c>
      <c r="I499" s="1" t="str">
        <f t="shared" ca="1" si="158"/>
        <v>South</v>
      </c>
      <c r="J499" s="1" t="str">
        <f t="shared" ca="1" si="159"/>
        <v>Tamil Nadu</v>
      </c>
      <c r="K499" s="1" t="str">
        <f t="shared" ca="1" si="160"/>
        <v>Ahmedabad</v>
      </c>
      <c r="L499" s="1" t="str">
        <f t="shared" ca="1" si="161"/>
        <v>Technology</v>
      </c>
      <c r="M499" s="1" t="str">
        <f t="shared" ca="1" si="162"/>
        <v>Paper</v>
      </c>
      <c r="N499" s="1" t="str">
        <f t="shared" ca="1" si="163"/>
        <v>Samsung Galaxy</v>
      </c>
      <c r="O499" s="1">
        <f t="shared" ca="1" si="164"/>
        <v>18403</v>
      </c>
      <c r="P499" s="1">
        <f t="shared" ca="1" si="165"/>
        <v>10</v>
      </c>
      <c r="Q499" s="19">
        <f t="shared" ca="1" si="166"/>
        <v>0.1</v>
      </c>
      <c r="R499" s="1">
        <f t="shared" ca="1" si="167"/>
        <v>1472.2399999999998</v>
      </c>
      <c r="S499" s="1">
        <f t="shared" ca="1" si="151"/>
        <v>3</v>
      </c>
      <c r="T499" s="19">
        <f t="shared" ca="1" si="152"/>
        <v>7.9999999999999988E-2</v>
      </c>
      <c r="U499" s="1" t="str">
        <f t="shared" ca="1" si="153"/>
        <v>Low Discount</v>
      </c>
    </row>
    <row r="500" spans="1:21" ht="15.6" customHeight="1" x14ac:dyDescent="0.3">
      <c r="A500" s="1" t="str">
        <f t="shared" si="148"/>
        <v>ORD-499</v>
      </c>
      <c r="B500" s="11">
        <f t="shared" ca="1" si="149"/>
        <v>45336</v>
      </c>
      <c r="C500" s="8">
        <f t="shared" ca="1" si="150"/>
        <v>45341</v>
      </c>
      <c r="D500" s="3" t="str">
        <f t="shared" ca="1" si="168"/>
        <v>Standard Class</v>
      </c>
      <c r="E500" s="3" t="str">
        <f t="shared" ca="1" si="154"/>
        <v>CU-440</v>
      </c>
      <c r="F500" s="3" t="str">
        <f t="shared" ca="1" si="155"/>
        <v>Pooja Yadav</v>
      </c>
      <c r="G500" s="3" t="str">
        <f t="shared" ca="1" si="156"/>
        <v>Home Office</v>
      </c>
      <c r="H500" s="3" t="str">
        <f t="shared" si="157"/>
        <v>India</v>
      </c>
      <c r="I500" s="3" t="str">
        <f t="shared" ca="1" si="158"/>
        <v>East</v>
      </c>
      <c r="J500" s="3" t="str">
        <f t="shared" ca="1" si="159"/>
        <v>Delhi</v>
      </c>
      <c r="K500" s="3" t="str">
        <f t="shared" ca="1" si="160"/>
        <v>Delhi</v>
      </c>
      <c r="L500" s="3" t="str">
        <f t="shared" ca="1" si="161"/>
        <v>Technology</v>
      </c>
      <c r="M500" s="3" t="str">
        <f t="shared" ca="1" si="162"/>
        <v>Paper</v>
      </c>
      <c r="N500" s="3" t="str">
        <f t="shared" ca="1" si="163"/>
        <v>Office Chair</v>
      </c>
      <c r="O500" s="3">
        <f ca="1">RANDBETWEEN(500,60000)</f>
        <v>40040</v>
      </c>
      <c r="P500" s="3">
        <f t="shared" ca="1" si="165"/>
        <v>2</v>
      </c>
      <c r="Q500" s="20">
        <f t="shared" ca="1" si="166"/>
        <v>0.05</v>
      </c>
      <c r="R500" s="3">
        <f t="shared" ca="1" si="167"/>
        <v>5205.2</v>
      </c>
      <c r="S500" s="1">
        <f t="shared" ca="1" si="151"/>
        <v>5</v>
      </c>
      <c r="T500" s="19">
        <f t="shared" ca="1" si="152"/>
        <v>0.13</v>
      </c>
      <c r="U500" s="1" t="str">
        <f t="shared" ca="1" si="153"/>
        <v>Low Discount</v>
      </c>
    </row>
    <row r="501" spans="1:21" ht="15.6" customHeight="1" x14ac:dyDescent="0.3">
      <c r="A501" s="1" t="str">
        <f t="shared" si="148"/>
        <v>ORD-500</v>
      </c>
      <c r="B501" s="10">
        <f ca="1">DATE(2024,1,1)+RANDBETWEEN(1,365)</f>
        <v>45547</v>
      </c>
      <c r="C501" s="7">
        <f ca="1">B501+RANDBETWEEN(0,5)</f>
        <v>45551</v>
      </c>
      <c r="D501" s="1" t="str">
        <f ca="1">CHOOSE(RANDBETWEEN(1,3),"Standard Class","Second Class","Same Day")</f>
        <v>Same Day</v>
      </c>
      <c r="E501" s="1" t="str">
        <f ca="1">"CU-"&amp;RANDBETWEEN(100,999)</f>
        <v>CU-904</v>
      </c>
      <c r="F501" s="1" t="str">
        <f ca="1">CHOOSE(RANDBETWEEN(1,8),"Rahul Sharma","Amit Verma","Priya Singh","Sunil Kumar","Neha Gupta","Ravi Mehta","Pooja Yadav","Arjun Malhotra")</f>
        <v>Priya Singh</v>
      </c>
      <c r="G501" s="1" t="str">
        <f ca="1">CHOOSE(RANDBETWEEN(1,3),"Consumer","Corporate","Home Office")</f>
        <v>Home Office</v>
      </c>
      <c r="H501" s="1" t="str">
        <f>"India"</f>
        <v>India</v>
      </c>
      <c r="I501" s="1" t="str">
        <f ca="1">CHOOSE(RANDBETWEEN(1,4),"North","South","East","West")</f>
        <v>North</v>
      </c>
      <c r="J501" s="1" t="str">
        <f ca="1">CHOOSE(RANDBETWEEN(1,6),"Delhi","Maharashtra","Karnataka","West Bengal","Gujarat","Tamil Nadu")</f>
        <v>Tamil Nadu</v>
      </c>
      <c r="K501" s="1" t="str">
        <f ca="1">CHOOSE(RANDBETWEEN(1,6),"Delhi","Mumbai","Bangalore","Kolkata","Ahmedabad","Chennai")</f>
        <v>Bangalore</v>
      </c>
      <c r="L501" s="1" t="str">
        <f ca="1">CHOOSE(RANDBETWEEN(1,3),"Technology","Furniture","Office Supplies")</f>
        <v>Office Supplies</v>
      </c>
      <c r="M501" s="1" t="str">
        <f ca="1">CHOOSE(RANDBETWEEN(1,5),"Mobile","Laptop","Chair","Table","Paper")</f>
        <v>Mobile</v>
      </c>
      <c r="N501" s="1" t="str">
        <f ca="1">CHOOSE(RANDBETWEEN(1,6),"Samsung Galaxy","HP Pavilion","Office Chair","Office Table","A4 Paper","Wireless Mouse")</f>
        <v>Office Table</v>
      </c>
      <c r="O501" s="1">
        <f ca="1">RANDBETWEEN(500,60000)</f>
        <v>25828</v>
      </c>
      <c r="P501" s="1">
        <f ca="1">RANDBETWEEN(1,10)</f>
        <v>9</v>
      </c>
      <c r="Q501" s="19">
        <f ca="1">CHOOSE(RANDBETWEEN(1,5),0,0.05,0.1,0.2,0.3)</f>
        <v>0</v>
      </c>
      <c r="R501" s="1">
        <f ca="1">O501*(0.18-Q501)</f>
        <v>4649.04</v>
      </c>
      <c r="S501" s="3">
        <f t="shared" ca="1" si="151"/>
        <v>4</v>
      </c>
      <c r="T501" s="20">
        <f t="shared" ca="1" si="152"/>
        <v>0.18</v>
      </c>
      <c r="U501" s="3" t="str">
        <f t="shared" ca="1" si="153"/>
        <v>Low Discount</v>
      </c>
    </row>
    <row r="502" spans="1:21" ht="18" customHeight="1" x14ac:dyDescent="0.3">
      <c r="A502" s="13"/>
      <c r="B502" s="14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23"/>
      <c r="R502" s="13"/>
    </row>
  </sheetData>
  <phoneticPr fontId="3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Sales_trend</vt:lpstr>
      <vt:lpstr>Analysis_Data</vt:lpstr>
      <vt:lpstr>Sales_data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 verma</dc:creator>
  <cp:lastModifiedBy>pradeep verma</cp:lastModifiedBy>
  <cp:lastPrinted>2026-02-06T03:39:14Z</cp:lastPrinted>
  <dcterms:created xsi:type="dcterms:W3CDTF">2026-02-06T01:48:18Z</dcterms:created>
  <dcterms:modified xsi:type="dcterms:W3CDTF">2026-02-07T15:32:56Z</dcterms:modified>
</cp:coreProperties>
</file>